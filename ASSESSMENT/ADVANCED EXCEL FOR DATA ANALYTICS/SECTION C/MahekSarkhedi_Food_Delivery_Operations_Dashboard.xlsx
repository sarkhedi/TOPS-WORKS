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TOPS-WORKS\ASSESMENT\ADVANCED EXCEL FOR DATA ANALYTICS\SECTION C\"/>
    </mc:Choice>
  </mc:AlternateContent>
  <xr:revisionPtr revIDLastSave="0" documentId="13_ncr:1_{72414505-690C-4062-A47C-5E8DFBF1C0AE}" xr6:coauthVersionLast="47" xr6:coauthVersionMax="47" xr10:uidLastSave="{00000000-0000-0000-0000-000000000000}"/>
  <bookViews>
    <workbookView xWindow="-108" yWindow="-108" windowWidth="23256" windowHeight="12456" activeTab="3" xr2:uid="{865B6CF4-076A-460E-8A7C-8F3E542E0C26}"/>
  </bookViews>
  <sheets>
    <sheet name="Restaurants" sheetId="4" r:id="rId1"/>
    <sheet name="Orders" sheetId="3" r:id="rId2"/>
    <sheet name="Zone Stats" sheetId="2" r:id="rId3"/>
    <sheet name="Dashboard" sheetId="1" r:id="rId4"/>
  </sheets>
  <definedNames>
    <definedName name="Slicer_Zone">#N/A</definedName>
    <definedName name="Timeline_OrderDat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E4" i="1"/>
  <c r="C4" i="1"/>
  <c r="H9" i="2"/>
  <c r="G9" i="2" a="1"/>
  <c r="G9" i="2" s="1"/>
  <c r="F9" i="2" a="1"/>
  <c r="F9" i="2" s="1"/>
  <c r="E9" i="2"/>
  <c r="D9" i="2" a="1"/>
  <c r="D9" i="2" s="1"/>
  <c r="C9" i="2" a="1"/>
  <c r="C9" i="2" s="1"/>
  <c r="B9" i="2"/>
  <c r="H8" i="2"/>
  <c r="G8" i="2" a="1"/>
  <c r="G8" i="2" s="1"/>
  <c r="F8" i="2" a="1"/>
  <c r="F8" i="2" s="1"/>
  <c r="E8" i="2"/>
  <c r="D8" i="2" a="1"/>
  <c r="D8" i="2" s="1"/>
  <c r="C8" i="2" a="1"/>
  <c r="C8" i="2" s="1"/>
  <c r="B8" i="2"/>
  <c r="H7" i="2"/>
  <c r="G7" i="2" a="1"/>
  <c r="G7" i="2" s="1"/>
  <c r="F7" i="2" a="1"/>
  <c r="F7" i="2" s="1"/>
  <c r="E7" i="2"/>
  <c r="D7" i="2" a="1"/>
  <c r="D7" i="2" s="1"/>
  <c r="C7" i="2" a="1"/>
  <c r="C7" i="2" s="1"/>
  <c r="B7" i="2"/>
  <c r="H6" i="2"/>
  <c r="G6" i="2" a="1"/>
  <c r="G6" i="2" s="1"/>
  <c r="F6" i="2" a="1"/>
  <c r="F6" i="2" s="1"/>
  <c r="E6" i="2"/>
  <c r="D6" i="2" a="1"/>
  <c r="D6" i="2" s="1"/>
  <c r="C6" i="2" a="1"/>
  <c r="C6" i="2" s="1"/>
  <c r="B6" i="2"/>
  <c r="H5" i="2"/>
  <c r="G5" i="2" a="1"/>
  <c r="G5" i="2" s="1"/>
  <c r="F5" i="2" a="1"/>
  <c r="F5" i="2" s="1"/>
  <c r="E5" i="2"/>
  <c r="D5" i="2" a="1"/>
  <c r="D5" i="2" s="1"/>
  <c r="C5" i="2" a="1"/>
  <c r="C5" i="2" s="1"/>
  <c r="B5" i="2"/>
  <c r="C2" i="2"/>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D9" i="3"/>
  <c r="C9" i="3"/>
  <c r="D8" i="3"/>
  <c r="C8" i="3"/>
  <c r="D7" i="3"/>
  <c r="C7" i="3"/>
  <c r="D6" i="3"/>
  <c r="C6" i="3"/>
  <c r="D5" i="3"/>
  <c r="C5" i="3"/>
  <c r="D4" i="3"/>
  <c r="C4" i="3"/>
  <c r="D3" i="3"/>
  <c r="C3" i="3"/>
  <c r="D2" i="3"/>
  <c r="C2" i="3"/>
</calcChain>
</file>

<file path=xl/sharedStrings.xml><?xml version="1.0" encoding="utf-8"?>
<sst xmlns="http://schemas.openxmlformats.org/spreadsheetml/2006/main" count="715" uniqueCount="201">
  <si>
    <t>RestaurantID</t>
  </si>
  <si>
    <t>RestaurantName</t>
  </si>
  <si>
    <t>Zone</t>
  </si>
  <si>
    <t>Category</t>
  </si>
  <si>
    <t>AvgRating</t>
  </si>
  <si>
    <t>R101</t>
  </si>
  <si>
    <t>Punjab Grill</t>
  </si>
  <si>
    <t>North</t>
  </si>
  <si>
    <t>Dine-in</t>
  </si>
  <si>
    <t>R102</t>
  </si>
  <si>
    <t>Bella Italia</t>
  </si>
  <si>
    <t>South</t>
  </si>
  <si>
    <t>R103</t>
  </si>
  <si>
    <t>Mainland China</t>
  </si>
  <si>
    <t>Central</t>
  </si>
  <si>
    <t>R104</t>
  </si>
  <si>
    <t>Biryani By Kilo</t>
  </si>
  <si>
    <t>East</t>
  </si>
  <si>
    <t>Cloud Kitchen</t>
  </si>
  <si>
    <t>R105</t>
  </si>
  <si>
    <t>Kake Da Dhaba</t>
  </si>
  <si>
    <t>R106</t>
  </si>
  <si>
    <t>Toscano Trattoria</t>
  </si>
  <si>
    <t>West</t>
  </si>
  <si>
    <t>R107</t>
  </si>
  <si>
    <t>Noodle Bar</t>
  </si>
  <si>
    <t>QSR</t>
  </si>
  <si>
    <t>R108</t>
  </si>
  <si>
    <t>Behrouz Biryani</t>
  </si>
  <si>
    <t>R109</t>
  </si>
  <si>
    <t>Moti Mahal Delux</t>
  </si>
  <si>
    <t>R110</t>
  </si>
  <si>
    <t>Little Italy</t>
  </si>
  <si>
    <t>R111</t>
  </si>
  <si>
    <t>Wok Express</t>
  </si>
  <si>
    <t>R112</t>
  </si>
  <si>
    <t>Madras Tiffin</t>
  </si>
  <si>
    <t>R113</t>
  </si>
  <si>
    <t>Paradise Biryani</t>
  </si>
  <si>
    <t>R114</t>
  </si>
  <si>
    <t>Curry Bowl</t>
  </si>
  <si>
    <t>R115</t>
  </si>
  <si>
    <t>Pind Balluchi</t>
  </si>
  <si>
    <t>R116</t>
  </si>
  <si>
    <t>Osteria Delizia</t>
  </si>
  <si>
    <t>OrderID</t>
  </si>
  <si>
    <t>Cuisine</t>
  </si>
  <si>
    <t>OrderDate</t>
  </si>
  <si>
    <t>DeliveryTime</t>
  </si>
  <si>
    <t>Rating</t>
  </si>
  <si>
    <t>Revenue</t>
  </si>
  <si>
    <t>Status</t>
  </si>
  <si>
    <t>ORD2001</t>
  </si>
  <si>
    <t>Chinese</t>
  </si>
  <si>
    <t>Delivered</t>
  </si>
  <si>
    <t>ORD2002</t>
  </si>
  <si>
    <t>ORD2003</t>
  </si>
  <si>
    <t>Italian</t>
  </si>
  <si>
    <t>ORD2004</t>
  </si>
  <si>
    <t>ORD2005</t>
  </si>
  <si>
    <t>ORD2006</t>
  </si>
  <si>
    <t>ORD2007</t>
  </si>
  <si>
    <t>Biryani</t>
  </si>
  <si>
    <t>ORD2008</t>
  </si>
  <si>
    <t>ORD2009</t>
  </si>
  <si>
    <t>ORD2010</t>
  </si>
  <si>
    <t>ORD2011</t>
  </si>
  <si>
    <t>ORD2012</t>
  </si>
  <si>
    <t>Delayed</t>
  </si>
  <si>
    <t>ORD2013</t>
  </si>
  <si>
    <t>North Indian</t>
  </si>
  <si>
    <t>ORD2014</t>
  </si>
  <si>
    <t>ORD2015</t>
  </si>
  <si>
    <t>R999</t>
  </si>
  <si>
    <t>ORD2016</t>
  </si>
  <si>
    <t>ORD2017</t>
  </si>
  <si>
    <t>ORD2018</t>
  </si>
  <si>
    <t>ORD2019</t>
  </si>
  <si>
    <t>ORD2020</t>
  </si>
  <si>
    <t>ORD2021</t>
  </si>
  <si>
    <t>ORD2022</t>
  </si>
  <si>
    <t>ORD2023</t>
  </si>
  <si>
    <t>ORD2024</t>
  </si>
  <si>
    <t>ORD2025</t>
  </si>
  <si>
    <t>Cancelled</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</si>
  <si>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</si>
  <si>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</si>
  <si>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</si>
  <si>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</si>
  <si>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</si>
  <si>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</si>
  <si>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</si>
  <si>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</si>
  <si>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</si>
  <si>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</si>
  <si>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</si>
  <si>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</si>
  <si>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</si>
  <si>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</si>
  <si>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</si>
  <si>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</si>
  <si>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</si>
  <si>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</si>
  <si>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</si>
  <si>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</si>
  <si>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</si>
  <si>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</si>
  <si>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</si>
  <si>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</si>
  <si>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</si>
  <si>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</si>
  <si>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</si>
  <si>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</si>
  <si>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</si>
  <si>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</si>
  <si>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</si>
  <si>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</si>
  <si>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</si>
  <si>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</si>
  <si>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</si>
  <si>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</si>
  <si>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</si>
  <si>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</si>
  <si>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</si>
  <si>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</si>
  <si>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</si>
  <si>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</si>
  <si>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</si>
  <si>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</si>
  <si>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</si>
  <si>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</si>
  <si>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</si>
  <si>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</si>
  <si>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</si>
  <si>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</si>
  <si>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</si>
  <si>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</si>
  <si>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</si>
  <si>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</si>
  <si>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</si>
  <si>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</si>
  <si>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</si>
  <si>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</si>
  <si>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</si>
  <si>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</si>
  <si>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</si>
  <si>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</si>
  <si>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</si>
  <si>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</si>
  <si>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</si>
  <si>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</si>
  <si>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</si>
  <si>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</si>
  <si>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</si>
  <si>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</si>
  <si>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</si>
  <si>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</si>
  <si>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</si>
  <si>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</si>
  <si>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</si>
  <si>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</si>
  <si>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</si>
  <si>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</si>
  <si>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</si>
  <si>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</si>
  <si>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</si>
  <si>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</si>
  <si>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</si>
  <si>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</si>
  <si>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</si>
  <si>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</si>
  <si>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</si>
  <si>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</si>
  <si>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</si>
  <si>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</si>
  <si>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</si>
  <si>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</si>
  <si>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</si>
  <si>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</si>
  <si>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</si>
  <si>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ZONE PERFORMANCE STATISTICAL SUMMARY</t>
  </si>
  <si>
    <t>Overall Benchmark:</t>
  </si>
  <si>
    <t>Overall Median DeliveryTime:</t>
  </si>
  <si>
    <t>DeliveryTime Mean (AVERAGEIF)</t>
  </si>
  <si>
    <t>DeliveryTime Median</t>
  </si>
  <si>
    <t>DeliveryTime StdDev (STDEV.S)</t>
  </si>
  <si>
    <t>Revenue Mean (AVERAGEIF)</t>
  </si>
  <si>
    <t>Revenue Median</t>
  </si>
  <si>
    <t>Revenue StdDev (STDEV.S)</t>
  </si>
  <si>
    <t>Status vs. Overall Median (Conditional Flag)</t>
  </si>
  <si>
    <t>FOOD DELIVERY OPERATIONS EXECUTIVE DASHBOARD</t>
  </si>
  <si>
    <t>TOTAL REVENUE</t>
  </si>
  <si>
    <t>AVG CUSTOMER RATING</t>
  </si>
  <si>
    <t>ON-TIME DELIVERY %</t>
  </si>
  <si>
    <t>1. REVENUE BREAKDOWN BY CUISINE &amp; ZONE</t>
  </si>
  <si>
    <t>Row Labels</t>
  </si>
  <si>
    <t>Grand Total</t>
  </si>
  <si>
    <t>Column Labels</t>
  </si>
  <si>
    <t>Total Revenue</t>
  </si>
  <si>
    <t>2. MONTHLY ORDER VOLUME TRENDS</t>
  </si>
  <si>
    <t>Order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</si>
</sst>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
    <numFmt numFmtId="165" formatCode="yyyy/mm/dd"/>
    <numFmt numFmtId="166" formatCode="0.00&quot; mins&quot;"/>
    <numFmt numFmtId="167" formatCode="&quot;₹&quot;#,##0.00"/>
    <numFmt numFmtId="168" formatCode="0.0%"/>
  </numFmts>
  <fonts count="9" x14ac:knownFonts="1">
    <font>
      <sz val="11"/>
      <color theme="1"/>
      <name val="Calibri"/>
      <family val="2"/>
      <scheme val="minor"/>
    </font>
    <font>
      <b/>
      <sz val="11"/>
      <color theme="1"/>
      <name val="Calibri"/>
      <family val="2"/>
      <scheme val="minor"/>
    </font>
    <font>
      <b/>
      <sz val="14"/>
      <color theme="1"/>
      <name val="Calibri"/>
      <family val="2"/>
      <scheme val="minor"/>
    </font>
    <font>
      <b/>
      <sz val="11"/>
      <color rgb="FFFFFFFF"/>
      <name val="Calibri"/>
      <family val="2"/>
      <scheme val="minor"/>
    </font>
    <font>
      <b/>
      <sz val="16"/>
      <color rgb="FF784E1F"/>
      <name val="Calibri"/>
      <family val="2"/>
      <scheme val="minor"/>
    </font>
    <font>
      <b/>
      <sz val="9"/>
      <color rgb="FF595959"/>
      <name val="Calibri"/>
      <family val="2"/>
      <scheme val="minor"/>
    </font>
    <font>
      <b/>
      <sz val="16"/>
      <color rgb="FF20461E"/>
      <name val="Calibri"/>
      <family val="2"/>
      <scheme val="minor"/>
    </font>
    <font>
      <b/>
      <sz val="16"/>
      <color rgb="FF004080"/>
      <name val="Calibri"/>
      <family val="2"/>
      <scheme val="minor"/>
    </font>
    <font>
      <b/>
      <sz val="16"/>
      <color rgb="FF643720"/>
      <name val="Calibri"/>
      <family val="2"/>
      <scheme val="minor"/>
    </font>
  </fonts>
  <fills count="7">
    <fill>
      <patternFill patternType="none"/>
    </fill>
    <fill>
      <patternFill patternType="gray125"/>
    </fill>
    <fill>
      <patternFill patternType="solid">
        <fgColor rgb="FFF2F2F2"/>
        <bgColor indexed="64"/>
      </patternFill>
    </fill>
    <fill>
      <patternFill patternType="solid">
        <fgColor rgb="FFB6752E"/>
        <bgColor indexed="64"/>
      </patternFill>
    </fill>
    <fill>
      <patternFill patternType="solid">
        <fgColor rgb="FFDAEFE2"/>
        <bgColor indexed="64"/>
      </patternFill>
    </fill>
    <fill>
      <patternFill patternType="solid">
        <fgColor rgb="FFCCF2FF"/>
        <bgColor indexed="64"/>
      </patternFill>
    </fill>
    <fill>
      <patternFill patternType="solid">
        <fgColor rgb="FFF7EBDD"/>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8ED0A9"/>
      </left>
      <right style="thin">
        <color rgb="FF8ED0A9"/>
      </right>
      <top style="thin">
        <color rgb="FF8ED0A9"/>
      </top>
      <bottom style="thin">
        <color rgb="FF8ED0A9"/>
      </bottom>
      <diagonal/>
    </border>
    <border>
      <left style="thin">
        <color rgb="FF66D9FF"/>
      </left>
      <right style="thin">
        <color rgb="FF66D9FF"/>
      </right>
      <top style="thin">
        <color rgb="FF66D9FF"/>
      </top>
      <bottom style="thin">
        <color rgb="FF66D9FF"/>
      </bottom>
      <diagonal/>
    </border>
    <border>
      <left style="thin">
        <color rgb="FFE6C29B"/>
      </left>
      <right style="thin">
        <color rgb="FFE6C29B"/>
      </right>
      <top style="thin">
        <color rgb="FFE6C29B"/>
      </top>
      <bottom style="thin">
        <color rgb="FFE6C29B"/>
      </bottom>
      <diagonal/>
    </border>
  </borders>
  <cellStyleXfs count="1">
    <xf numFmtId="0" fontId="0" fillId="0" borderId="0"/>
  </cellStyleXfs>
  <cellXfs count="26">
    <xf numFmtId="0" fontId="0" fillId="0" borderId="0" xfId="0"/>
    <xf numFmtId="0" fontId="1" fillId="0" borderId="0" xfId="0" applyFont="1"/>
    <xf numFmtId="164" fontId="0" fillId="0" borderId="0" xfId="0" applyNumberFormat="1"/>
    <xf numFmtId="165" fontId="0" fillId="0" borderId="0" xfId="0" applyNumberFormat="1"/>
    <xf numFmtId="0" fontId="2" fillId="0" borderId="0" xfId="0" applyFont="1"/>
    <xf numFmtId="0" fontId="1" fillId="2" borderId="0" xfId="0" applyFont="1" applyFill="1"/>
    <xf numFmtId="0" fontId="0" fillId="2" borderId="0" xfId="0" applyFill="1"/>
    <xf numFmtId="166" fontId="1" fillId="2" borderId="0" xfId="0" applyNumberFormat="1" applyFont="1" applyFill="1"/>
    <xf numFmtId="0" fontId="3" fillId="3" borderId="1" xfId="0" applyFont="1" applyFill="1" applyBorder="1"/>
    <xf numFmtId="0" fontId="1" fillId="0" borderId="1" xfId="0" applyFont="1" applyBorder="1"/>
    <xf numFmtId="166" fontId="0" fillId="0" borderId="1" xfId="0" applyNumberFormat="1" applyBorder="1"/>
    <xf numFmtId="167" fontId="0" fillId="0" borderId="1" xfId="0" applyNumberFormat="1" applyBorder="1"/>
    <xf numFmtId="0" fontId="0" fillId="0" borderId="1" xfId="0" applyBorder="1"/>
    <xf numFmtId="0" fontId="5" fillId="4" borderId="2" xfId="0" applyFont="1" applyFill="1" applyBorder="1"/>
    <xf numFmtId="0" fontId="0" fillId="4" borderId="2" xfId="0" applyFill="1" applyBorder="1"/>
    <xf numFmtId="164" fontId="6" fillId="4" borderId="2" xfId="0" applyNumberFormat="1" applyFont="1" applyFill="1" applyBorder="1"/>
    <xf numFmtId="0" fontId="5" fillId="5" borderId="3" xfId="0" applyFont="1" applyFill="1" applyBorder="1"/>
    <xf numFmtId="0" fontId="0" fillId="5" borderId="3" xfId="0" applyFill="1" applyBorder="1"/>
    <xf numFmtId="2" fontId="7" fillId="5" borderId="3" xfId="0" applyNumberFormat="1" applyFont="1" applyFill="1" applyBorder="1"/>
    <xf numFmtId="0" fontId="5" fillId="6" borderId="4" xfId="0" applyFont="1" applyFill="1" applyBorder="1"/>
    <xf numFmtId="0" fontId="0" fillId="6" borderId="4" xfId="0" applyFill="1" applyBorder="1"/>
    <xf numFmtId="168" fontId="8" fillId="6" borderId="4" xfId="0" applyNumberFormat="1" applyFont="1" applyFill="1" applyBorder="1"/>
    <xf numFmtId="0" fontId="0" fillId="0" borderId="0" xfId="0" pivotButton="1"/>
    <xf numFmtId="0" fontId="0" fillId="0" borderId="0" xfId="0" applyAlignment="1">
      <alignment horizontal="left"/>
    </xf>
    <xf numFmtId="3" fontId="0" fillId="0" borderId="0" xfId="0" applyNumberFormat="1"/>
    <xf numFmtId="0" fontId="4" fillId="0" borderId="0" xfId="0" applyFont="1" applyAlignment="1">
      <alignment horizontal="center" vertical="center"/>
    </xf>
  </cellXfs>
  <cellStyles count="1">
    <cellStyle name="Normal" xfId="0" builtinId="0"/>
  </cellStyles>
  <dxfs count="6">
    <dxf>
      <font>
        <b/>
        <i val="0"/>
        <color rgb="FF990000"/>
      </font>
      <fill>
        <patternFill>
          <bgColor rgb="FFFFC6C6"/>
        </patternFill>
      </fill>
    </dxf>
    <dxf>
      <font>
        <b/>
        <i val="0"/>
        <color rgb="FF006100"/>
      </font>
      <fill>
        <patternFill>
          <bgColor rgb="FFCEEFC6"/>
        </patternFill>
      </fill>
    </dxf>
    <dxf>
      <numFmt numFmtId="164" formatCode="&quot;₹&quot;#,##0"/>
    </dxf>
    <dxf>
      <numFmt numFmtId="165" formatCode="yyyy/mm/dd"/>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7</xdr:col>
      <xdr:colOff>228600</xdr:colOff>
      <xdr:row>0</xdr:row>
      <xdr:rowOff>259080</xdr:rowOff>
    </xdr:from>
    <xdr:to>
      <xdr:col>8</xdr:col>
      <xdr:colOff>632460</xdr:colOff>
      <xdr:row>13</xdr:row>
      <xdr:rowOff>180975</xdr:rowOff>
    </xdr:to>
    <mc:AlternateContent xmlns:mc="http://schemas.openxmlformats.org/markup-compatibility/2006">
      <mc:Choice xmlns:a14="http://schemas.microsoft.com/office/drawing/2010/main" Requires="a14">
        <xdr:graphicFrame macro="">
          <xdr:nvGraphicFramePr>
            <xdr:cNvPr id="2" name="Zone">
              <a:extLst>
                <a:ext uri="{FF2B5EF4-FFF2-40B4-BE49-F238E27FC236}">
                  <a16:creationId xmlns:a16="http://schemas.microsoft.com/office/drawing/2014/main" id="{9FE73F9E-9ABB-2B0F-5A58-C036548C281E}"/>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5836920" y="259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662940</xdr:colOff>
      <xdr:row>1</xdr:row>
      <xdr:rowOff>22860</xdr:rowOff>
    </xdr:from>
    <xdr:to>
      <xdr:col>13</xdr:col>
      <xdr:colOff>548640</xdr:colOff>
      <xdr:row>8</xdr:row>
      <xdr:rowOff>30480</xdr:rowOff>
    </xdr:to>
    <mc:AlternateContent xmlns:mc="http://schemas.openxmlformats.org/markup-compatibility/2006">
      <mc:Choice xmlns:tsle="http://schemas.microsoft.com/office/drawing/2012/timeslicer" Requires="tsle">
        <xdr:graphicFrame macro="">
          <xdr:nvGraphicFramePr>
            <xdr:cNvPr id="3" name="OrderDate">
              <a:extLst>
                <a:ext uri="{FF2B5EF4-FFF2-40B4-BE49-F238E27FC236}">
                  <a16:creationId xmlns:a16="http://schemas.microsoft.com/office/drawing/2014/main" id="{52E42D1C-1E40-D4AF-5667-9AB37C8B7C9A}"/>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7696200" y="2895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k" refreshedDate="46298.535502777777" createdVersion="8" refreshedVersion="8" minRefreshableVersion="3" recordCount="120" xr:uid="{D12F9CEB-10BA-4284-9A6C-52F95D015DA4}">
  <cacheSource type="worksheet">
    <worksheetSource name="tblOrders"/>
  </cacheSource>
  <cacheFields count="12">
    <cacheField name="OrderID" numFmtId="0">
      <sharedItems/>
    </cacheField>
    <cacheField name="RestaurantID" numFmtId="0">
      <sharedItems/>
    </cacheField>
    <cacheField name="RestaurantName" numFmtId="0">
      <sharedItems/>
    </cacheField>
    <cacheField name="Category" numFmtId="0">
      <sharedItems/>
    </cacheField>
    <cacheField name="Cuisine" numFmtId="0">
      <sharedItems count="4">
        <s v="Chinese"/>
        <s v="Italian"/>
        <s v="Biryani"/>
        <s v="North Indian"/>
      </sharedItems>
    </cacheField>
    <cacheField name="Zone" numFmtId="0">
      <sharedItems count="5">
        <s v="West"/>
        <s v="East"/>
        <s v="Central"/>
        <s v="North"/>
        <s v="South"/>
      </sharedItems>
    </cacheField>
    <cacheField name="OrderDate" numFmtId="165">
      <sharedItems containsSemiMixedTypes="0" containsNonDate="0" containsDate="1" containsString="0" minDate="2024-01-02T00:00:00" maxDate="2024-03-31T00:00:00" count="65">
        <d v="2024-03-12T00:00:00"/>
        <d v="2024-02-11T00:00:00"/>
        <d v="2024-01-06T00:00:00"/>
        <d v="2024-02-17T00:00:00"/>
        <d v="2024-01-05T00:00:00"/>
        <d v="2024-03-18T00:00:00"/>
        <d v="2024-03-25T00:00:00"/>
        <d v="2024-01-11T00:00:00"/>
        <d v="2024-01-17T00:00:00"/>
        <d v="2024-03-10T00:00:00"/>
        <d v="2024-01-30T00:00:00"/>
        <d v="2024-02-18T00:00:00"/>
        <d v="2024-01-13T00:00:00"/>
        <d v="2024-02-28T00:00:00"/>
        <d v="2024-02-12T00:00:00"/>
        <d v="2024-01-22T00:00:00"/>
        <d v="2024-02-24T00:00:00"/>
        <d v="2024-03-20T00:00:00"/>
        <d v="2024-01-20T00:00:00"/>
        <d v="2024-03-22T00:00:00"/>
        <d v="2024-02-01T00:00:00"/>
        <d v="2024-02-02T00:00:00"/>
        <d v="2024-03-01T00:00:00"/>
        <d v="2024-02-03T00:00:00"/>
        <d v="2024-02-15T00:00:00"/>
        <d v="2024-02-04T00:00:00"/>
        <d v="2024-01-19T00:00:00"/>
        <d v="2024-02-06T00:00:00"/>
        <d v="2024-03-11T00:00:00"/>
        <d v="2024-01-26T00:00:00"/>
        <d v="2024-03-30T00:00:00"/>
        <d v="2024-02-21T00:00:00"/>
        <d v="2024-02-14T00:00:00"/>
        <d v="2024-03-17T00:00:00"/>
        <d v="2024-03-03T00:00:00"/>
        <d v="2024-01-27T00:00:00"/>
        <d v="2024-03-04T00:00:00"/>
        <d v="2024-01-08T00:00:00"/>
        <d v="2024-02-22T00:00:00"/>
        <d v="2024-03-16T00:00:00"/>
        <d v="2024-03-28T00:00:00"/>
        <d v="2024-01-25T00:00:00"/>
        <d v="2024-03-02T00:00:00"/>
        <d v="2024-02-27T00:00:00"/>
        <d v="2024-02-29T00:00:00"/>
        <d v="2024-01-03T00:00:00"/>
        <d v="2024-03-14T00:00:00"/>
        <d v="2024-01-31T00:00:00"/>
        <d v="2024-02-26T00:00:00"/>
        <d v="2024-01-23T00:00:00"/>
        <d v="2024-03-07T00:00:00"/>
        <d v="2024-03-15T00:00:00"/>
        <d v="2024-01-09T00:00:00"/>
        <d v="2024-03-26T00:00:00"/>
        <d v="2024-02-08T00:00:00"/>
        <d v="2024-03-29T00:00:00"/>
        <d v="2024-03-08T00:00:00"/>
        <d v="2024-03-19T00:00:00"/>
        <d v="2024-01-15T00:00:00"/>
        <d v="2024-01-24T00:00:00"/>
        <d v="2024-02-19T00:00:00"/>
        <d v="2024-01-02T00:00:00"/>
        <d v="2024-01-07T00:00:00"/>
        <d v="2024-02-13T00:00:00"/>
        <d v="2024-03-13T00:00:00"/>
      </sharedItems>
      <fieldGroup par="11"/>
    </cacheField>
    <cacheField name="DeliveryTime" numFmtId="0">
      <sharedItems containsSemiMixedTypes="0" containsString="0" containsNumber="1" containsInteger="1" minValue="18" maxValue="53"/>
    </cacheField>
    <cacheField name="Rating" numFmtId="0">
      <sharedItems containsSemiMixedTypes="0" containsString="0" containsNumber="1" containsInteger="1" minValue="2" maxValue="5"/>
    </cacheField>
    <cacheField name="Revenue" numFmtId="164">
      <sharedItems containsSemiMixedTypes="0" containsString="0" containsNumber="1" containsInteger="1" minValue="250" maxValue="1430"/>
    </cacheField>
    <cacheField name="Status" numFmtId="0">
      <sharedItems/>
    </cacheField>
    <cacheField name="Months (OrderDate)" numFmtId="0" databaseField="0">
      <fieldGroup base="6">
        <rangePr groupBy="months" startDate="2024-01-02T00:00:00" endDate="2024-03-31T00:00:00"/>
        <groupItems count="14">
          <s v="&lt;02-01-2024"/>
          <s v="Jan"/>
          <s v="Feb"/>
          <s v="Mar"/>
          <s v="Apr"/>
          <s v="May"/>
          <s v="Jun"/>
          <s v="Jul"/>
          <s v="Aug"/>
          <s v="Sep"/>
          <s v="Oct"/>
          <s v="Nov"/>
          <s v="Dec"/>
          <s v="&gt;31-03-2024"/>
        </groupItems>
      </fieldGroup>
    </cacheField>
  </cacheFields>
  <extLst>
    <ext xmlns:x14="http://schemas.microsoft.com/office/spreadsheetml/2009/9/main" uri="{725AE2AE-9491-48be-B2B4-4EB974FC3084}">
      <x14:pivotCacheDefinition pivotCacheId="874032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2001"/>
    <s v="R107"/>
    <s v="Noodle Bar"/>
    <s v="QSR"/>
    <x v="0"/>
    <x v="0"/>
    <x v="0"/>
    <n v="40"/>
    <n v="4"/>
    <n v="1390"/>
    <s v="Delivered"/>
  </r>
  <r>
    <s v="ORD2002"/>
    <s v="R111"/>
    <s v="Wok Express"/>
    <s v="Cloud Kitchen"/>
    <x v="0"/>
    <x v="1"/>
    <x v="1"/>
    <n v="24"/>
    <n v="5"/>
    <n v="1030"/>
    <s v="Delivered"/>
  </r>
  <r>
    <s v="ORD2003"/>
    <s v="R106"/>
    <s v="Toscano Trattoria"/>
    <s v="Dine-in"/>
    <x v="1"/>
    <x v="0"/>
    <x v="2"/>
    <n v="38"/>
    <n v="3"/>
    <n v="1430"/>
    <s v="Delivered"/>
  </r>
  <r>
    <s v="ORD2004"/>
    <s v="R112"/>
    <s v="Madras Tiffin"/>
    <s v="QSR"/>
    <x v="1"/>
    <x v="0"/>
    <x v="3"/>
    <n v="37"/>
    <n v="4"/>
    <n v="1210"/>
    <s v="Delivered"/>
  </r>
  <r>
    <s v="ORD2005"/>
    <s v="R115"/>
    <s v="Pind Balluchi"/>
    <s v="Dine-in"/>
    <x v="1"/>
    <x v="2"/>
    <x v="4"/>
    <n v="37"/>
    <n v="4"/>
    <n v="1270"/>
    <s v="Delivered"/>
  </r>
  <r>
    <s v="ORD2006"/>
    <s v="R103"/>
    <s v="Mainland China"/>
    <s v="Dine-in"/>
    <x v="0"/>
    <x v="2"/>
    <x v="5"/>
    <n v="29"/>
    <n v="4"/>
    <n v="410"/>
    <s v="Delivered"/>
  </r>
  <r>
    <s v="ORD2007"/>
    <s v="R104"/>
    <s v="Biryani By Kilo"/>
    <s v="Cloud Kitchen"/>
    <x v="2"/>
    <x v="1"/>
    <x v="6"/>
    <n v="18"/>
    <n v="4"/>
    <n v="270"/>
    <s v="Delivered"/>
  </r>
  <r>
    <s v="ORD2008"/>
    <s v="R115"/>
    <s v="Pind Balluchi"/>
    <s v="Dine-in"/>
    <x v="2"/>
    <x v="2"/>
    <x v="7"/>
    <n v="46"/>
    <n v="3"/>
    <n v="1170"/>
    <s v="Delivered"/>
  </r>
  <r>
    <s v="ORD2009"/>
    <s v="R101"/>
    <s v="Punjab Grill"/>
    <s v="Dine-in"/>
    <x v="2"/>
    <x v="3"/>
    <x v="8"/>
    <n v="22"/>
    <n v="4"/>
    <n v="310"/>
    <s v="Delivered"/>
  </r>
  <r>
    <s v="ORD2010"/>
    <s v="R115"/>
    <s v="Pind Balluchi"/>
    <s v="Dine-in"/>
    <x v="1"/>
    <x v="2"/>
    <x v="9"/>
    <n v="49"/>
    <n v="4"/>
    <n v="950"/>
    <s v="Delivered"/>
  </r>
  <r>
    <s v="ORD2011"/>
    <s v="R116"/>
    <s v="Osteria Delizia"/>
    <s v="Dine-in"/>
    <x v="1"/>
    <x v="4"/>
    <x v="10"/>
    <n v="37"/>
    <n v="5"/>
    <n v="650"/>
    <s v="Delivered"/>
  </r>
  <r>
    <s v="ORD2012"/>
    <s v="R102"/>
    <s v="Bella Italia"/>
    <s v="Dine-in"/>
    <x v="1"/>
    <x v="4"/>
    <x v="11"/>
    <n v="53"/>
    <n v="3"/>
    <n v="730"/>
    <s v="Delayed"/>
  </r>
  <r>
    <s v="ORD2013"/>
    <s v="R112"/>
    <s v="Madras Tiffin"/>
    <s v="QSR"/>
    <x v="3"/>
    <x v="0"/>
    <x v="12"/>
    <n v="41"/>
    <n v="3"/>
    <n v="890"/>
    <s v="Delivered"/>
  </r>
  <r>
    <s v="ORD2014"/>
    <s v="R110"/>
    <s v="Little Italy"/>
    <s v="Dine-in"/>
    <x v="0"/>
    <x v="1"/>
    <x v="13"/>
    <n v="37"/>
    <n v="5"/>
    <n v="410"/>
    <s v="Delivered"/>
  </r>
  <r>
    <s v="ORD2015"/>
    <s v="R999"/>
    <s v="Unknown"/>
    <s v="Unknown"/>
    <x v="3"/>
    <x v="4"/>
    <x v="2"/>
    <n v="20"/>
    <n v="5"/>
    <n v="1030"/>
    <s v="Delivered"/>
  </r>
  <r>
    <s v="ORD2016"/>
    <s v="R103"/>
    <s v="Mainland China"/>
    <s v="Dine-in"/>
    <x v="0"/>
    <x v="2"/>
    <x v="14"/>
    <n v="25"/>
    <n v="4"/>
    <n v="510"/>
    <s v="Delayed"/>
  </r>
  <r>
    <s v="ORD2017"/>
    <s v="R105"/>
    <s v="Kake Da Dhaba"/>
    <s v="Dine-in"/>
    <x v="1"/>
    <x v="3"/>
    <x v="15"/>
    <n v="21"/>
    <n v="5"/>
    <n v="1250"/>
    <s v="Delivered"/>
  </r>
  <r>
    <s v="ORD2018"/>
    <s v="R107"/>
    <s v="Noodle Bar"/>
    <s v="QSR"/>
    <x v="0"/>
    <x v="0"/>
    <x v="14"/>
    <n v="38"/>
    <n v="4"/>
    <n v="310"/>
    <s v="Delayed"/>
  </r>
  <r>
    <s v="ORD2019"/>
    <s v="R107"/>
    <s v="Noodle Bar"/>
    <s v="QSR"/>
    <x v="0"/>
    <x v="0"/>
    <x v="16"/>
    <n v="23"/>
    <n v="5"/>
    <n v="370"/>
    <s v="Delivered"/>
  </r>
  <r>
    <s v="ORD2020"/>
    <s v="R106"/>
    <s v="Toscano Trattoria"/>
    <s v="Dine-in"/>
    <x v="1"/>
    <x v="0"/>
    <x v="17"/>
    <n v="37"/>
    <n v="4"/>
    <n v="1370"/>
    <s v="Delivered"/>
  </r>
  <r>
    <s v="ORD2021"/>
    <s v="R112"/>
    <s v="Madras Tiffin"/>
    <s v="QSR"/>
    <x v="2"/>
    <x v="0"/>
    <x v="18"/>
    <n v="44"/>
    <n v="2"/>
    <n v="1330"/>
    <s v="Delayed"/>
  </r>
  <r>
    <s v="ORD2022"/>
    <s v="R107"/>
    <s v="Noodle Bar"/>
    <s v="QSR"/>
    <x v="0"/>
    <x v="0"/>
    <x v="19"/>
    <n v="34"/>
    <n v="4"/>
    <n v="770"/>
    <s v="Delivered"/>
  </r>
  <r>
    <s v="ORD2023"/>
    <s v="R104"/>
    <s v="Biryani By Kilo"/>
    <s v="Cloud Kitchen"/>
    <x v="2"/>
    <x v="1"/>
    <x v="20"/>
    <n v="22"/>
    <n v="5"/>
    <n v="970"/>
    <s v="Delivered"/>
  </r>
  <r>
    <s v="ORD2024"/>
    <s v="R110"/>
    <s v="Little Italy"/>
    <s v="Dine-in"/>
    <x v="2"/>
    <x v="1"/>
    <x v="15"/>
    <n v="25"/>
    <n v="4"/>
    <n v="870"/>
    <s v="Delivered"/>
  </r>
  <r>
    <s v="ORD2025"/>
    <s v="R109"/>
    <s v="Moti Mahal Delux"/>
    <s v="Dine-in"/>
    <x v="2"/>
    <x v="2"/>
    <x v="21"/>
    <n v="35"/>
    <n v="4"/>
    <n v="1210"/>
    <s v="Cancelled"/>
  </r>
  <r>
    <s v="ORD2026"/>
    <s v="R111"/>
    <s v="Wok Express"/>
    <s v="Cloud Kitchen"/>
    <x v="0"/>
    <x v="1"/>
    <x v="16"/>
    <n v="18"/>
    <n v="5"/>
    <n v="1310"/>
    <s v="Delivered"/>
  </r>
  <r>
    <s v="ORD2027"/>
    <s v="R116"/>
    <s v="Osteria Delizia"/>
    <s v="Dine-in"/>
    <x v="1"/>
    <x v="4"/>
    <x v="19"/>
    <n v="24"/>
    <n v="5"/>
    <n v="870"/>
    <s v="Delivered"/>
  </r>
  <r>
    <s v="ORD2028"/>
    <s v="R107"/>
    <s v="Noodle Bar"/>
    <s v="QSR"/>
    <x v="0"/>
    <x v="0"/>
    <x v="22"/>
    <n v="32"/>
    <n v="5"/>
    <n v="1410"/>
    <s v="Delivered"/>
  </r>
  <r>
    <s v="ORD2029"/>
    <s v="R106"/>
    <s v="Toscano Trattoria"/>
    <s v="Dine-in"/>
    <x v="1"/>
    <x v="0"/>
    <x v="23"/>
    <n v="48"/>
    <n v="3"/>
    <n v="1190"/>
    <s v="Delivered"/>
  </r>
  <r>
    <s v="ORD2030"/>
    <s v="R109"/>
    <s v="Moti Mahal Delux"/>
    <s v="Dine-in"/>
    <x v="2"/>
    <x v="2"/>
    <x v="24"/>
    <n v="48"/>
    <n v="3"/>
    <n v="290"/>
    <s v="Delivered"/>
  </r>
  <r>
    <s v="ORD2031"/>
    <s v="R111"/>
    <s v="Wok Express"/>
    <s v="Cloud Kitchen"/>
    <x v="0"/>
    <x v="1"/>
    <x v="18"/>
    <n v="37"/>
    <n v="4"/>
    <n v="370"/>
    <s v="Delivered"/>
  </r>
  <r>
    <s v="ORD2032"/>
    <s v="R101"/>
    <s v="Punjab Grill"/>
    <s v="Dine-in"/>
    <x v="2"/>
    <x v="3"/>
    <x v="25"/>
    <n v="32"/>
    <n v="5"/>
    <n v="250"/>
    <s v="Delivered"/>
  </r>
  <r>
    <s v="ORD2033"/>
    <s v="R109"/>
    <s v="Moti Mahal Delux"/>
    <s v="Dine-in"/>
    <x v="3"/>
    <x v="2"/>
    <x v="26"/>
    <n v="52"/>
    <n v="2"/>
    <n v="550"/>
    <s v="Cancelled"/>
  </r>
  <r>
    <s v="ORD2034"/>
    <s v="R109"/>
    <s v="Moti Mahal Delux"/>
    <s v="Dine-in"/>
    <x v="2"/>
    <x v="2"/>
    <x v="3"/>
    <n v="39"/>
    <n v="4"/>
    <n v="1190"/>
    <s v="Cancelled"/>
  </r>
  <r>
    <s v="ORD2035"/>
    <s v="R105"/>
    <s v="Kake Da Dhaba"/>
    <s v="Dine-in"/>
    <x v="3"/>
    <x v="3"/>
    <x v="17"/>
    <n v="21"/>
    <n v="5"/>
    <n v="550"/>
    <s v="Delayed"/>
  </r>
  <r>
    <s v="ORD2036"/>
    <s v="R108"/>
    <s v="Behrouz Biryani"/>
    <s v="Cloud Kitchen"/>
    <x v="2"/>
    <x v="3"/>
    <x v="27"/>
    <n v="19"/>
    <n v="5"/>
    <n v="1270"/>
    <s v="Delivered"/>
  </r>
  <r>
    <s v="ORD2037"/>
    <s v="R108"/>
    <s v="Behrouz Biryani"/>
    <s v="Cloud Kitchen"/>
    <x v="2"/>
    <x v="3"/>
    <x v="28"/>
    <n v="34"/>
    <n v="4"/>
    <n v="730"/>
    <s v="Delivered"/>
  </r>
  <r>
    <s v="ORD2038"/>
    <s v="R113"/>
    <s v="Paradise Biryani"/>
    <s v="Dine-in"/>
    <x v="2"/>
    <x v="4"/>
    <x v="29"/>
    <n v="46"/>
    <n v="2"/>
    <n v="270"/>
    <s v="Delivered"/>
  </r>
  <r>
    <s v="ORD2039"/>
    <s v="R116"/>
    <s v="Osteria Delizia"/>
    <s v="Dine-in"/>
    <x v="1"/>
    <x v="4"/>
    <x v="30"/>
    <n v="18"/>
    <n v="5"/>
    <n v="390"/>
    <s v="Delayed"/>
  </r>
  <r>
    <s v="ORD2040"/>
    <s v="R101"/>
    <s v="Punjab Grill"/>
    <s v="Dine-in"/>
    <x v="2"/>
    <x v="3"/>
    <x v="31"/>
    <n v="26"/>
    <n v="4"/>
    <n v="1250"/>
    <s v="Delivered"/>
  </r>
  <r>
    <s v="ORD2041"/>
    <s v="R106"/>
    <s v="Toscano Trattoria"/>
    <s v="Dine-in"/>
    <x v="1"/>
    <x v="0"/>
    <x v="15"/>
    <n v="35"/>
    <n v="5"/>
    <n v="770"/>
    <s v="Delivered"/>
  </r>
  <r>
    <s v="ORD2042"/>
    <s v="R105"/>
    <s v="Kake Da Dhaba"/>
    <s v="Dine-in"/>
    <x v="1"/>
    <x v="3"/>
    <x v="13"/>
    <n v="30"/>
    <n v="4"/>
    <n v="890"/>
    <s v="Delivered"/>
  </r>
  <r>
    <s v="ORD2043"/>
    <s v="R113"/>
    <s v="Paradise Biryani"/>
    <s v="Dine-in"/>
    <x v="2"/>
    <x v="4"/>
    <x v="32"/>
    <n v="43"/>
    <n v="2"/>
    <n v="1110"/>
    <s v="Cancelled"/>
  </r>
  <r>
    <s v="ORD2044"/>
    <s v="R113"/>
    <s v="Paradise Biryani"/>
    <s v="Dine-in"/>
    <x v="2"/>
    <x v="4"/>
    <x v="29"/>
    <n v="33"/>
    <n v="5"/>
    <n v="1430"/>
    <s v="Delivered"/>
  </r>
  <r>
    <s v="ORD2045"/>
    <s v="R108"/>
    <s v="Behrouz Biryani"/>
    <s v="Cloud Kitchen"/>
    <x v="2"/>
    <x v="3"/>
    <x v="10"/>
    <n v="46"/>
    <n v="4"/>
    <n v="1270"/>
    <s v="Delivered"/>
  </r>
  <r>
    <s v="ORD2046"/>
    <s v="R105"/>
    <s v="Kake Da Dhaba"/>
    <s v="Dine-in"/>
    <x v="2"/>
    <x v="3"/>
    <x v="33"/>
    <n v="40"/>
    <n v="4"/>
    <n v="590"/>
    <s v="Delivered"/>
  </r>
  <r>
    <s v="ORD2047"/>
    <s v="R115"/>
    <s v="Pind Balluchi"/>
    <s v="Dine-in"/>
    <x v="1"/>
    <x v="2"/>
    <x v="34"/>
    <n v="28"/>
    <n v="5"/>
    <n v="670"/>
    <s v="Delivered"/>
  </r>
  <r>
    <s v="ORD2048"/>
    <s v="R115"/>
    <s v="Pind Balluchi"/>
    <s v="Dine-in"/>
    <x v="0"/>
    <x v="2"/>
    <x v="35"/>
    <n v="37"/>
    <n v="4"/>
    <n v="1030"/>
    <s v="Delivered"/>
  </r>
  <r>
    <s v="ORD2049"/>
    <s v="R111"/>
    <s v="Wok Express"/>
    <s v="Cloud Kitchen"/>
    <x v="0"/>
    <x v="1"/>
    <x v="36"/>
    <n v="18"/>
    <n v="5"/>
    <n v="1230"/>
    <s v="Delayed"/>
  </r>
  <r>
    <s v="ORD2050"/>
    <s v="R113"/>
    <s v="Paradise Biryani"/>
    <s v="Dine-in"/>
    <x v="2"/>
    <x v="4"/>
    <x v="37"/>
    <n v="34"/>
    <n v="3"/>
    <n v="950"/>
    <s v="Delivered"/>
  </r>
  <r>
    <s v="ORD2051"/>
    <s v="R101"/>
    <s v="Punjab Grill"/>
    <s v="Dine-in"/>
    <x v="2"/>
    <x v="3"/>
    <x v="36"/>
    <n v="29"/>
    <n v="4"/>
    <n v="790"/>
    <s v="Delivered"/>
  </r>
  <r>
    <s v="ORD2052"/>
    <s v="R116"/>
    <s v="Osteria Delizia"/>
    <s v="Dine-in"/>
    <x v="1"/>
    <x v="4"/>
    <x v="38"/>
    <n v="31"/>
    <n v="3"/>
    <n v="730"/>
    <s v="Delivered"/>
  </r>
  <r>
    <s v="ORD2053"/>
    <s v="R114"/>
    <s v="Curry Bowl"/>
    <s v="Cloud Kitchen"/>
    <x v="3"/>
    <x v="1"/>
    <x v="39"/>
    <n v="26"/>
    <n v="4"/>
    <n v="530"/>
    <s v="Delivered"/>
  </r>
  <r>
    <s v="ORD2054"/>
    <s v="R112"/>
    <s v="Madras Tiffin"/>
    <s v="QSR"/>
    <x v="3"/>
    <x v="0"/>
    <x v="3"/>
    <n v="41"/>
    <n v="3"/>
    <n v="1110"/>
    <s v="Cancelled"/>
  </r>
  <r>
    <s v="ORD2055"/>
    <s v="R107"/>
    <s v="Noodle Bar"/>
    <s v="QSR"/>
    <x v="0"/>
    <x v="0"/>
    <x v="37"/>
    <n v="36"/>
    <n v="4"/>
    <n v="1330"/>
    <s v="Delivered"/>
  </r>
  <r>
    <s v="ORD2056"/>
    <s v="R116"/>
    <s v="Osteria Delizia"/>
    <s v="Dine-in"/>
    <x v="1"/>
    <x v="4"/>
    <x v="40"/>
    <n v="24"/>
    <n v="5"/>
    <n v="830"/>
    <s v="Delivered"/>
  </r>
  <r>
    <s v="ORD2057"/>
    <s v="R108"/>
    <s v="Behrouz Biryani"/>
    <s v="Cloud Kitchen"/>
    <x v="2"/>
    <x v="3"/>
    <x v="41"/>
    <n v="19"/>
    <n v="4"/>
    <n v="1290"/>
    <s v="Delivered"/>
  </r>
  <r>
    <s v="ORD2058"/>
    <s v="R115"/>
    <s v="Pind Balluchi"/>
    <s v="Dine-in"/>
    <x v="3"/>
    <x v="2"/>
    <x v="42"/>
    <n v="34"/>
    <n v="3"/>
    <n v="1390"/>
    <s v="Delivered"/>
  </r>
  <r>
    <s v="ORD2059"/>
    <s v="R102"/>
    <s v="Bella Italia"/>
    <s v="Dine-in"/>
    <x v="1"/>
    <x v="4"/>
    <x v="15"/>
    <n v="31"/>
    <n v="4"/>
    <n v="330"/>
    <s v="Delivered"/>
  </r>
  <r>
    <s v="ORD2060"/>
    <s v="R107"/>
    <s v="Noodle Bar"/>
    <s v="QSR"/>
    <x v="0"/>
    <x v="0"/>
    <x v="4"/>
    <n v="41"/>
    <n v="3"/>
    <n v="1250"/>
    <s v="Delivered"/>
  </r>
  <r>
    <s v="ORD2061"/>
    <s v="R109"/>
    <s v="Moti Mahal Delux"/>
    <s v="Dine-in"/>
    <x v="3"/>
    <x v="2"/>
    <x v="7"/>
    <n v="39"/>
    <n v="4"/>
    <n v="750"/>
    <s v="Delivered"/>
  </r>
  <r>
    <s v="ORD2062"/>
    <s v="R105"/>
    <s v="Kake Da Dhaba"/>
    <s v="Dine-in"/>
    <x v="0"/>
    <x v="3"/>
    <x v="20"/>
    <n v="33"/>
    <n v="4"/>
    <n v="970"/>
    <s v="Delivered"/>
  </r>
  <r>
    <s v="ORD2063"/>
    <s v="R110"/>
    <s v="Little Italy"/>
    <s v="Dine-in"/>
    <x v="1"/>
    <x v="1"/>
    <x v="43"/>
    <n v="28"/>
    <n v="5"/>
    <n v="1390"/>
    <s v="Delivered"/>
  </r>
  <r>
    <s v="ORD2064"/>
    <s v="R108"/>
    <s v="Behrouz Biryani"/>
    <s v="Cloud Kitchen"/>
    <x v="2"/>
    <x v="3"/>
    <x v="44"/>
    <n v="22"/>
    <n v="4"/>
    <n v="710"/>
    <s v="Cancelled"/>
  </r>
  <r>
    <s v="ORD2065"/>
    <s v="R102"/>
    <s v="Bella Italia"/>
    <s v="Dine-in"/>
    <x v="1"/>
    <x v="4"/>
    <x v="45"/>
    <n v="35"/>
    <n v="4"/>
    <n v="1230"/>
    <s v="Delivered"/>
  </r>
  <r>
    <s v="ORD2066"/>
    <s v="R101"/>
    <s v="Punjab Grill"/>
    <s v="Dine-in"/>
    <x v="3"/>
    <x v="3"/>
    <x v="46"/>
    <n v="28"/>
    <n v="5"/>
    <n v="470"/>
    <s v="Delivered"/>
  </r>
  <r>
    <s v="ORD2067"/>
    <s v="R101"/>
    <s v="Punjab Grill"/>
    <s v="Dine-in"/>
    <x v="2"/>
    <x v="3"/>
    <x v="19"/>
    <n v="29"/>
    <n v="3"/>
    <n v="390"/>
    <s v="Delivered"/>
  </r>
  <r>
    <s v="ORD2068"/>
    <s v="R999"/>
    <s v="Unknown"/>
    <s v="Unknown"/>
    <x v="1"/>
    <x v="4"/>
    <x v="47"/>
    <n v="24"/>
    <n v="5"/>
    <n v="370"/>
    <s v="Delivered"/>
  </r>
  <r>
    <s v="ORD2069"/>
    <s v="R105"/>
    <s v="Kake Da Dhaba"/>
    <s v="Dine-in"/>
    <x v="1"/>
    <x v="3"/>
    <x v="48"/>
    <n v="30"/>
    <n v="5"/>
    <n v="1370"/>
    <s v="Delivered"/>
  </r>
  <r>
    <s v="ORD2070"/>
    <s v="R105"/>
    <s v="Kake Da Dhaba"/>
    <s v="Dine-in"/>
    <x v="3"/>
    <x v="3"/>
    <x v="31"/>
    <n v="32"/>
    <n v="4"/>
    <n v="930"/>
    <s v="Delivered"/>
  </r>
  <r>
    <s v="ORD2071"/>
    <s v="R102"/>
    <s v="Bella Italia"/>
    <s v="Dine-in"/>
    <x v="1"/>
    <x v="4"/>
    <x v="49"/>
    <n v="39"/>
    <n v="4"/>
    <n v="470"/>
    <s v="Delivered"/>
  </r>
  <r>
    <s v="ORD2072"/>
    <s v="R113"/>
    <s v="Paradise Biryani"/>
    <s v="Dine-in"/>
    <x v="2"/>
    <x v="4"/>
    <x v="50"/>
    <n v="32"/>
    <n v="4"/>
    <n v="830"/>
    <s v="Delayed"/>
  </r>
  <r>
    <s v="ORD2073"/>
    <s v="R114"/>
    <s v="Curry Bowl"/>
    <s v="Cloud Kitchen"/>
    <x v="2"/>
    <x v="1"/>
    <x v="51"/>
    <n v="36"/>
    <n v="4"/>
    <n v="470"/>
    <s v="Cancelled"/>
  </r>
  <r>
    <s v="ORD2074"/>
    <s v="R103"/>
    <s v="Mainland China"/>
    <s v="Dine-in"/>
    <x v="0"/>
    <x v="2"/>
    <x v="52"/>
    <n v="33"/>
    <n v="4"/>
    <n v="510"/>
    <s v="Delivered"/>
  </r>
  <r>
    <s v="ORD2075"/>
    <s v="R104"/>
    <s v="Biryani By Kilo"/>
    <s v="Cloud Kitchen"/>
    <x v="2"/>
    <x v="1"/>
    <x v="31"/>
    <n v="22"/>
    <n v="5"/>
    <n v="730"/>
    <s v="Delivered"/>
  </r>
  <r>
    <s v="ORD2076"/>
    <s v="R105"/>
    <s v="Kake Da Dhaba"/>
    <s v="Dine-in"/>
    <x v="2"/>
    <x v="3"/>
    <x v="53"/>
    <n v="45"/>
    <n v="3"/>
    <n v="1010"/>
    <s v="Delivered"/>
  </r>
  <r>
    <s v="ORD2077"/>
    <s v="R110"/>
    <s v="Little Italy"/>
    <s v="Dine-in"/>
    <x v="1"/>
    <x v="1"/>
    <x v="2"/>
    <n v="18"/>
    <n v="5"/>
    <n v="1090"/>
    <s v="Delivered"/>
  </r>
  <r>
    <s v="ORD2078"/>
    <s v="R115"/>
    <s v="Pind Balluchi"/>
    <s v="Dine-in"/>
    <x v="2"/>
    <x v="2"/>
    <x v="42"/>
    <n v="51"/>
    <n v="4"/>
    <n v="570"/>
    <s v="Delayed"/>
  </r>
  <r>
    <s v="ORD2079"/>
    <s v="R107"/>
    <s v="Noodle Bar"/>
    <s v="QSR"/>
    <x v="0"/>
    <x v="0"/>
    <x v="54"/>
    <n v="31"/>
    <n v="5"/>
    <n v="270"/>
    <s v="Delivered"/>
  </r>
  <r>
    <s v="ORD2080"/>
    <s v="R105"/>
    <s v="Kake Da Dhaba"/>
    <s v="Dine-in"/>
    <x v="1"/>
    <x v="3"/>
    <x v="55"/>
    <n v="18"/>
    <n v="5"/>
    <n v="250"/>
    <s v="Delayed"/>
  </r>
  <r>
    <s v="ORD2081"/>
    <s v="R101"/>
    <s v="Punjab Grill"/>
    <s v="Dine-in"/>
    <x v="0"/>
    <x v="3"/>
    <x v="19"/>
    <n v="18"/>
    <n v="5"/>
    <n v="610"/>
    <s v="Delivered"/>
  </r>
  <r>
    <s v="ORD2082"/>
    <s v="R106"/>
    <s v="Toscano Trattoria"/>
    <s v="Dine-in"/>
    <x v="1"/>
    <x v="0"/>
    <x v="36"/>
    <n v="45"/>
    <n v="2"/>
    <n v="610"/>
    <s v="Delivered"/>
  </r>
  <r>
    <s v="ORD2083"/>
    <s v="R103"/>
    <s v="Mainland China"/>
    <s v="Dine-in"/>
    <x v="0"/>
    <x v="2"/>
    <x v="49"/>
    <n v="48"/>
    <n v="3"/>
    <n v="390"/>
    <s v="Delivered"/>
  </r>
  <r>
    <s v="ORD2084"/>
    <s v="R109"/>
    <s v="Moti Mahal Delux"/>
    <s v="Dine-in"/>
    <x v="0"/>
    <x v="2"/>
    <x v="56"/>
    <n v="18"/>
    <n v="5"/>
    <n v="1370"/>
    <s v="Delivered"/>
  </r>
  <r>
    <s v="ORD2085"/>
    <s v="R101"/>
    <s v="Punjab Grill"/>
    <s v="Dine-in"/>
    <x v="3"/>
    <x v="3"/>
    <x v="57"/>
    <n v="29"/>
    <n v="3"/>
    <n v="930"/>
    <s v="Delivered"/>
  </r>
  <r>
    <s v="ORD2086"/>
    <s v="R109"/>
    <s v="Moti Mahal Delux"/>
    <s v="Dine-in"/>
    <x v="1"/>
    <x v="2"/>
    <x v="58"/>
    <n v="36"/>
    <n v="4"/>
    <n v="530"/>
    <s v="Delivered"/>
  </r>
  <r>
    <s v="ORD2087"/>
    <s v="R105"/>
    <s v="Kake Da Dhaba"/>
    <s v="Dine-in"/>
    <x v="1"/>
    <x v="3"/>
    <x v="38"/>
    <n v="26"/>
    <n v="5"/>
    <n v="390"/>
    <s v="Delivered"/>
  </r>
  <r>
    <s v="ORD2088"/>
    <s v="R104"/>
    <s v="Biryani By Kilo"/>
    <s v="Cloud Kitchen"/>
    <x v="2"/>
    <x v="1"/>
    <x v="1"/>
    <n v="38"/>
    <n v="4"/>
    <n v="1230"/>
    <s v="Delivered"/>
  </r>
  <r>
    <s v="ORD2089"/>
    <s v="R105"/>
    <s v="Kake Da Dhaba"/>
    <s v="Dine-in"/>
    <x v="3"/>
    <x v="3"/>
    <x v="59"/>
    <n v="22"/>
    <n v="5"/>
    <n v="1290"/>
    <s v="Delayed"/>
  </r>
  <r>
    <s v="ORD2090"/>
    <s v="R112"/>
    <s v="Madras Tiffin"/>
    <s v="QSR"/>
    <x v="2"/>
    <x v="0"/>
    <x v="58"/>
    <n v="35"/>
    <n v="5"/>
    <n v="350"/>
    <s v="Cancelled"/>
  </r>
  <r>
    <s v="ORD2091"/>
    <s v="R116"/>
    <s v="Osteria Delizia"/>
    <s v="Dine-in"/>
    <x v="1"/>
    <x v="4"/>
    <x v="38"/>
    <n v="31"/>
    <n v="3"/>
    <n v="1350"/>
    <s v="Delivered"/>
  </r>
  <r>
    <s v="ORD2092"/>
    <s v="R101"/>
    <s v="Punjab Grill"/>
    <s v="Dine-in"/>
    <x v="1"/>
    <x v="3"/>
    <x v="55"/>
    <n v="36"/>
    <n v="3"/>
    <n v="650"/>
    <s v="Delivered"/>
  </r>
  <r>
    <s v="ORD2093"/>
    <s v="R109"/>
    <s v="Moti Mahal Delux"/>
    <s v="Dine-in"/>
    <x v="1"/>
    <x v="2"/>
    <x v="51"/>
    <n v="29"/>
    <n v="3"/>
    <n v="250"/>
    <s v="Delivered"/>
  </r>
  <r>
    <s v="ORD2094"/>
    <s v="R107"/>
    <s v="Noodle Bar"/>
    <s v="QSR"/>
    <x v="0"/>
    <x v="0"/>
    <x v="5"/>
    <n v="36"/>
    <n v="5"/>
    <n v="850"/>
    <s v="Delivered"/>
  </r>
  <r>
    <s v="ORD2095"/>
    <s v="R103"/>
    <s v="Mainland China"/>
    <s v="Dine-in"/>
    <x v="0"/>
    <x v="2"/>
    <x v="60"/>
    <n v="31"/>
    <n v="4"/>
    <n v="1150"/>
    <s v="Delivered"/>
  </r>
  <r>
    <s v="ORD2096"/>
    <s v="R113"/>
    <s v="Paradise Biryani"/>
    <s v="Dine-in"/>
    <x v="2"/>
    <x v="4"/>
    <x v="16"/>
    <n v="35"/>
    <n v="4"/>
    <n v="1210"/>
    <s v="Delivered"/>
  </r>
  <r>
    <s v="ORD2097"/>
    <s v="R102"/>
    <s v="Bella Italia"/>
    <s v="Dine-in"/>
    <x v="1"/>
    <x v="4"/>
    <x v="21"/>
    <n v="32"/>
    <n v="4"/>
    <n v="1310"/>
    <s v="Delayed"/>
  </r>
  <r>
    <s v="ORD2098"/>
    <s v="R102"/>
    <s v="Bella Italia"/>
    <s v="Dine-in"/>
    <x v="1"/>
    <x v="4"/>
    <x v="33"/>
    <n v="23"/>
    <n v="5"/>
    <n v="330"/>
    <s v="Delivered"/>
  </r>
  <r>
    <s v="ORD2099"/>
    <s v="R111"/>
    <s v="Wok Express"/>
    <s v="Cloud Kitchen"/>
    <x v="0"/>
    <x v="1"/>
    <x v="27"/>
    <n v="35"/>
    <n v="5"/>
    <n v="1250"/>
    <s v="Delayed"/>
  </r>
  <r>
    <s v="ORD2100"/>
    <s v="R116"/>
    <s v="Osteria Delizia"/>
    <s v="Dine-in"/>
    <x v="1"/>
    <x v="4"/>
    <x v="61"/>
    <n v="42"/>
    <n v="2"/>
    <n v="910"/>
    <s v="Delivered"/>
  </r>
  <r>
    <s v="ORD2101"/>
    <s v="R115"/>
    <s v="Pind Balluchi"/>
    <s v="Dine-in"/>
    <x v="0"/>
    <x v="2"/>
    <x v="52"/>
    <n v="39"/>
    <n v="4"/>
    <n v="530"/>
    <s v="Delivered"/>
  </r>
  <r>
    <s v="ORD2102"/>
    <s v="R107"/>
    <s v="Noodle Bar"/>
    <s v="QSR"/>
    <x v="0"/>
    <x v="0"/>
    <x v="3"/>
    <n v="51"/>
    <n v="3"/>
    <n v="810"/>
    <s v="Delayed"/>
  </r>
  <r>
    <s v="ORD2103"/>
    <s v="R108"/>
    <s v="Behrouz Biryani"/>
    <s v="Cloud Kitchen"/>
    <x v="2"/>
    <x v="3"/>
    <x v="39"/>
    <n v="28"/>
    <n v="5"/>
    <n v="1090"/>
    <s v="Delivered"/>
  </r>
  <r>
    <s v="ORD2104"/>
    <s v="R111"/>
    <s v="Wok Express"/>
    <s v="Cloud Kitchen"/>
    <x v="0"/>
    <x v="1"/>
    <x v="62"/>
    <n v="25"/>
    <n v="4"/>
    <n v="1330"/>
    <s v="Delivered"/>
  </r>
  <r>
    <s v="ORD2105"/>
    <s v="R111"/>
    <s v="Wok Express"/>
    <s v="Cloud Kitchen"/>
    <x v="0"/>
    <x v="1"/>
    <x v="12"/>
    <n v="20"/>
    <n v="5"/>
    <n v="290"/>
    <s v="Delayed"/>
  </r>
  <r>
    <s v="ORD2106"/>
    <s v="R111"/>
    <s v="Wok Express"/>
    <s v="Cloud Kitchen"/>
    <x v="0"/>
    <x v="1"/>
    <x v="22"/>
    <n v="34"/>
    <n v="3"/>
    <n v="1390"/>
    <s v="Delivered"/>
  </r>
  <r>
    <s v="ORD2107"/>
    <s v="R105"/>
    <s v="Kake Da Dhaba"/>
    <s v="Dine-in"/>
    <x v="3"/>
    <x v="3"/>
    <x v="20"/>
    <n v="24"/>
    <n v="5"/>
    <n v="330"/>
    <s v="Delivered"/>
  </r>
  <r>
    <s v="ORD2108"/>
    <s v="R110"/>
    <s v="Little Italy"/>
    <s v="Dine-in"/>
    <x v="1"/>
    <x v="1"/>
    <x v="21"/>
    <n v="29"/>
    <n v="4"/>
    <n v="1130"/>
    <s v="Delivered"/>
  </r>
  <r>
    <s v="ORD2109"/>
    <s v="R110"/>
    <s v="Little Italy"/>
    <s v="Dine-in"/>
    <x v="3"/>
    <x v="1"/>
    <x v="63"/>
    <n v="31"/>
    <n v="3"/>
    <n v="1190"/>
    <s v="Delivered"/>
  </r>
  <r>
    <s v="ORD2110"/>
    <s v="R110"/>
    <s v="Little Italy"/>
    <s v="Dine-in"/>
    <x v="2"/>
    <x v="1"/>
    <x v="64"/>
    <n v="47"/>
    <n v="3"/>
    <n v="1270"/>
    <s v="Delivered"/>
  </r>
  <r>
    <s v="ORD2111"/>
    <s v="R115"/>
    <s v="Pind Balluchi"/>
    <s v="Dine-in"/>
    <x v="2"/>
    <x v="2"/>
    <x v="63"/>
    <n v="22"/>
    <n v="5"/>
    <n v="1130"/>
    <s v="Delivered"/>
  </r>
  <r>
    <s v="ORD2112"/>
    <s v="R111"/>
    <s v="Wok Express"/>
    <s v="Cloud Kitchen"/>
    <x v="0"/>
    <x v="1"/>
    <x v="49"/>
    <n v="42"/>
    <n v="3"/>
    <n v="1170"/>
    <s v="Delayed"/>
  </r>
  <r>
    <s v="ORD2113"/>
    <s v="R111"/>
    <s v="Wok Express"/>
    <s v="Cloud Kitchen"/>
    <x v="0"/>
    <x v="1"/>
    <x v="3"/>
    <n v="28"/>
    <n v="5"/>
    <n v="530"/>
    <s v="Delivered"/>
  </r>
  <r>
    <s v="ORD2114"/>
    <s v="R107"/>
    <s v="Noodle Bar"/>
    <s v="QSR"/>
    <x v="0"/>
    <x v="0"/>
    <x v="23"/>
    <n v="27"/>
    <n v="4"/>
    <n v="1370"/>
    <s v="Delayed"/>
  </r>
  <r>
    <s v="ORD2115"/>
    <s v="R106"/>
    <s v="Toscano Trattoria"/>
    <s v="Dine-in"/>
    <x v="1"/>
    <x v="0"/>
    <x v="10"/>
    <n v="51"/>
    <n v="3"/>
    <n v="1130"/>
    <s v="Delayed"/>
  </r>
  <r>
    <s v="ORD2116"/>
    <s v="R104"/>
    <s v="Biryani By Kilo"/>
    <s v="Cloud Kitchen"/>
    <x v="2"/>
    <x v="1"/>
    <x v="11"/>
    <n v="37"/>
    <n v="4"/>
    <n v="390"/>
    <s v="Delivered"/>
  </r>
  <r>
    <s v="ORD2117"/>
    <s v="R112"/>
    <s v="Madras Tiffin"/>
    <s v="QSR"/>
    <x v="0"/>
    <x v="0"/>
    <x v="25"/>
    <n v="42"/>
    <n v="3"/>
    <n v="1410"/>
    <s v="Delivered"/>
  </r>
  <r>
    <s v="ORD2118"/>
    <s v="R113"/>
    <s v="Paradise Biryani"/>
    <s v="Dine-in"/>
    <x v="2"/>
    <x v="4"/>
    <x v="10"/>
    <n v="27"/>
    <n v="5"/>
    <n v="1290"/>
    <s v="Delivered"/>
  </r>
  <r>
    <s v="ORD2119"/>
    <s v="R106"/>
    <s v="Toscano Trattoria"/>
    <s v="Dine-in"/>
    <x v="1"/>
    <x v="0"/>
    <x v="21"/>
    <n v="46"/>
    <n v="2"/>
    <n v="830"/>
    <s v="Delivered"/>
  </r>
  <r>
    <s v="ORD2120"/>
    <s v="R107"/>
    <s v="Noodle Bar"/>
    <s v="QSR"/>
    <x v="0"/>
    <x v="0"/>
    <x v="39"/>
    <n v="35"/>
    <n v="3"/>
    <n v="850"/>
    <s v="Delive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8E678D-7C52-4406-BF3F-767374F948CF}" name="ptMonthlyOrderC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9:B20" firstHeaderRow="1" firstDataRow="1" firstDataCol="1"/>
  <pivotFields count="12">
    <pivotField dataField="1" showAll="0"/>
    <pivotField showAll="0"/>
    <pivotField showAll="0"/>
    <pivotField showAll="0"/>
    <pivotField showAll="0"/>
    <pivotField showAll="0">
      <items count="6">
        <item x="2"/>
        <item h="1" x="1"/>
        <item h="1" x="3"/>
        <item h="1" x="4"/>
        <item h="1" x="0"/>
        <item t="default"/>
      </items>
    </pivotField>
    <pivotField numFmtId="165" showAll="0">
      <items count="66">
        <item x="61"/>
        <item x="45"/>
        <item x="4"/>
        <item x="2"/>
        <item x="62"/>
        <item x="37"/>
        <item x="52"/>
        <item x="7"/>
        <item x="12"/>
        <item x="58"/>
        <item x="8"/>
        <item x="26"/>
        <item x="18"/>
        <item x="15"/>
        <item x="49"/>
        <item x="59"/>
        <item x="41"/>
        <item x="29"/>
        <item x="35"/>
        <item x="10"/>
        <item x="47"/>
        <item x="20"/>
        <item x="21"/>
        <item x="23"/>
        <item x="25"/>
        <item x="27"/>
        <item x="54"/>
        <item x="1"/>
        <item x="14"/>
        <item x="63"/>
        <item x="32"/>
        <item x="24"/>
        <item x="3"/>
        <item x="11"/>
        <item x="60"/>
        <item x="31"/>
        <item x="38"/>
        <item x="16"/>
        <item x="48"/>
        <item x="43"/>
        <item x="13"/>
        <item x="44"/>
        <item x="22"/>
        <item x="42"/>
        <item x="34"/>
        <item x="36"/>
        <item x="50"/>
        <item x="56"/>
        <item x="9"/>
        <item x="28"/>
        <item x="0"/>
        <item x="64"/>
        <item x="46"/>
        <item x="51"/>
        <item x="39"/>
        <item x="33"/>
        <item x="5"/>
        <item x="57"/>
        <item x="17"/>
        <item x="19"/>
        <item x="6"/>
        <item x="53"/>
        <item x="40"/>
        <item x="55"/>
        <item x="30"/>
        <item t="default"/>
      </items>
    </pivotField>
    <pivotField showAll="0"/>
    <pivotField showAll="0"/>
    <pivotField numFmtId="164" showAll="0"/>
    <pivotField showAll="0"/>
    <pivotField axis="axisRow" showAll="0">
      <items count="15">
        <item x="0"/>
        <item x="1"/>
        <item x="2"/>
        <item x="3"/>
        <item x="4"/>
        <item x="5"/>
        <item x="6"/>
        <item x="7"/>
        <item x="8"/>
        <item x="9"/>
        <item x="10"/>
        <item x="11"/>
        <item x="12"/>
        <item x="13"/>
        <item t="default"/>
      </items>
    </pivotField>
  </pivotFields>
  <rowFields count="1">
    <field x="11"/>
  </rowFields>
  <rowItems count="1">
    <i t="grand">
      <x/>
    </i>
  </rowItems>
  <colItems count="1">
    <i/>
  </colItems>
  <dataFields count="1">
    <dataField name="Order Count" fld="0" subtotal="count" baseField="0" baseItem="0" numFmtId="3"/>
  </dataFields>
  <pivotTableStyleInfo name="PivotStyleMedium2" showRowHeaders="1" showColHeaders="1" showRowStripes="1" showColStripes="0" showLastColumn="1"/>
  <filters count="1">
    <filter fld="6" type="dateBetween" evalOrder="-1" id="12" name="Order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09EC0D-B8A8-45D3-8616-35769799C646}" name="ptRevenueCuisineZo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C14" firstHeaderRow="1" firstDataRow="2" firstDataCol="1"/>
  <pivotFields count="12">
    <pivotField showAll="0"/>
    <pivotField showAll="0"/>
    <pivotField showAll="0"/>
    <pivotField showAll="0"/>
    <pivotField axis="axisRow" showAll="0">
      <items count="5">
        <item x="2"/>
        <item x="0"/>
        <item x="1"/>
        <item x="3"/>
        <item t="default"/>
      </items>
    </pivotField>
    <pivotField axis="axisCol" showAll="0">
      <items count="6">
        <item x="2"/>
        <item h="1" x="1"/>
        <item h="1" x="3"/>
        <item h="1" x="4"/>
        <item h="1" x="0"/>
        <item t="default"/>
      </items>
    </pivotField>
    <pivotField numFmtId="165" showAll="0">
      <items count="66">
        <item x="61"/>
        <item x="45"/>
        <item x="4"/>
        <item x="2"/>
        <item x="62"/>
        <item x="37"/>
        <item x="52"/>
        <item x="7"/>
        <item x="12"/>
        <item x="58"/>
        <item x="8"/>
        <item x="26"/>
        <item x="18"/>
        <item x="15"/>
        <item x="49"/>
        <item x="59"/>
        <item x="41"/>
        <item x="29"/>
        <item x="35"/>
        <item x="10"/>
        <item x="47"/>
        <item x="20"/>
        <item x="21"/>
        <item x="23"/>
        <item x="25"/>
        <item x="27"/>
        <item x="54"/>
        <item x="1"/>
        <item x="14"/>
        <item x="63"/>
        <item x="32"/>
        <item x="24"/>
        <item x="3"/>
        <item x="11"/>
        <item x="60"/>
        <item x="31"/>
        <item x="38"/>
        <item x="16"/>
        <item x="48"/>
        <item x="43"/>
        <item x="13"/>
        <item x="44"/>
        <item x="22"/>
        <item x="42"/>
        <item x="34"/>
        <item x="36"/>
        <item x="50"/>
        <item x="56"/>
        <item x="9"/>
        <item x="28"/>
        <item x="0"/>
        <item x="64"/>
        <item x="46"/>
        <item x="51"/>
        <item x="39"/>
        <item x="33"/>
        <item x="5"/>
        <item x="57"/>
        <item x="17"/>
        <item x="19"/>
        <item x="6"/>
        <item x="53"/>
        <item x="40"/>
        <item x="55"/>
        <item x="30"/>
        <item t="default"/>
      </items>
    </pivotField>
    <pivotField showAll="0"/>
    <pivotField showAll="0"/>
    <pivotField dataField="1" numFmtId="164"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5"/>
  </colFields>
  <colItems count="2">
    <i>
      <x/>
    </i>
    <i t="grand">
      <x/>
    </i>
  </colItems>
  <dataFields count="1">
    <dataField name="Total Revenue" fld="9" baseField="0" baseItem="0" numFmtId="164"/>
  </dataField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2130C99F-D7D6-4AFF-A62B-481B4AF0D451}" sourceName="Zone">
  <pivotTables>
    <pivotTable tabId="1" name="ptRevenueCuisineZone"/>
    <pivotTable tabId="1" name="ptMonthlyOrderCount"/>
  </pivotTables>
  <data>
    <tabular pivotCacheId="874032485">
      <items count="5">
        <i x="2" s="1"/>
        <i x="1"/>
        <i x="3"/>
        <i x="4"/>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0B4FE380-6D44-4679-9E0E-C603BC17B3D3}" cache="Slicer_Zone" caption="Zo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C55BC8-53E5-482C-AFC0-32497C4CD8E0}" name="tblRestaurants" displayName="tblRestaurants" ref="A1:E17" totalsRowShown="0" headerRowDxfId="5">
  <autoFilter ref="A1:E17" xr:uid="{EDC55BC8-53E5-482C-AFC0-32497C4CD8E0}"/>
  <tableColumns count="5">
    <tableColumn id="1" xr3:uid="{A68A1DC1-B403-4E65-8148-76D38C3040B9}" name="RestaurantID"/>
    <tableColumn id="2" xr3:uid="{927A63BA-652F-4A28-A1B4-69BE5765B373}" name="RestaurantName"/>
    <tableColumn id="3" xr3:uid="{B4FD5604-72E9-4312-8484-C1AD6DB5EC2B}" name="Zone"/>
    <tableColumn id="4" xr3:uid="{4E3098AB-24F8-43EA-A1CD-D39650882FD1}" name="Category"/>
    <tableColumn id="5" xr3:uid="{DB146356-BC09-4CE8-AD8D-E14EB0454161}" name="Avg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1DAD0A-C326-49BA-BE9E-6D4518C4D7C2}" name="tblOrders" displayName="tblOrders" ref="A1:K121" totalsRowShown="0" headerRowDxfId="4">
  <autoFilter ref="A1:K121" xr:uid="{3D1DAD0A-C326-49BA-BE9E-6D4518C4D7C2}"/>
  <tableColumns count="11">
    <tableColumn id="1" xr3:uid="{B3B7FE8F-DE34-4018-85CA-AD0041AEE6B7}" name="OrderID"/>
    <tableColumn id="2" xr3:uid="{7AB1A1AB-B6A5-47C4-9F1F-27E99555BEC1}" name="RestaurantID"/>
    <tableColumn id="3" xr3:uid="{CBE281FA-9090-4ACA-8AB3-4D933D13F6C2}" name="RestaurantName">
      <calculatedColumnFormula>_xlfn.XLOOKUP(B2, Restaurants!$A$2:$A$17, Restaurants!$B$2:$B$17, "Unknown")</calculatedColumnFormula>
    </tableColumn>
    <tableColumn id="4" xr3:uid="{E79B5FD4-69B0-47E6-9D94-E680E59A0588}" name="Category">
      <calculatedColumnFormula>_xlfn.XLOOKUP(B2, Restaurants!$A$2:$A$17, Restaurants!$D$2:$D$17, "Unknown")</calculatedColumnFormula>
    </tableColumn>
    <tableColumn id="5" xr3:uid="{57D3699C-0DDB-4F0A-95DC-D5E290CE4107}" name="Cuisine"/>
    <tableColumn id="6" xr3:uid="{5924A553-ABDE-4656-8290-FCC6A83DFD93}" name="Zone"/>
    <tableColumn id="7" xr3:uid="{36D44EE4-E270-4E81-8ED3-01A1206BAF8C}" name="OrderDate" dataDxfId="3"/>
    <tableColumn id="8" xr3:uid="{8E734995-7DF4-4F16-A494-AAE00F369F7C}" name="DeliveryTime"/>
    <tableColumn id="9" xr3:uid="{88425DD6-9681-4950-B9C6-E09DED8886A5}" name="Rating"/>
    <tableColumn id="10" xr3:uid="{137E693C-66DC-417E-86E5-D28770BA9FD5}" name="Revenue" dataDxfId="2"/>
    <tableColumn id="11" xr3:uid="{E26B5759-B766-4196-BAC2-A1EF6C423490}"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C30167F3-115F-44CB-A526-8017C08DF91D}" sourceName="OrderDate">
  <pivotTables>
    <pivotTable tabId="1" name="ptMonthlyOrderCount"/>
  </pivotTables>
  <state minimalRefreshVersion="6" lastRefreshVersion="6" pivotCacheId="874032485" filterType="dateBetween">
    <selection startDate="2024-07-01T00:00:00" endDate="2024-07-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4184D099-7AC1-4FE1-A233-5BB1E9ABECB1}" cache="Timeline_OrderDate" caption="Order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675D0-91F9-4963-9CDD-DF94BB7C4340}">
  <dimension ref="A1:E17"/>
  <sheetViews>
    <sheetView workbookViewId="0"/>
  </sheetViews>
  <sheetFormatPr defaultRowHeight="14.4" x14ac:dyDescent="0.3"/>
  <cols>
    <col min="1" max="1" width="14.109375" bestFit="1" customWidth="1"/>
    <col min="2" max="2" width="17.44140625" bestFit="1" customWidth="1"/>
    <col min="3" max="3" width="7.44140625" bestFit="1" customWidth="1"/>
    <col min="4" max="4" width="12.109375" bestFit="1" customWidth="1"/>
    <col min="5" max="5" width="11.77734375" bestFit="1" customWidth="1"/>
  </cols>
  <sheetData>
    <row r="1" spans="1:5" x14ac:dyDescent="0.3">
      <c r="A1" s="1" t="s">
        <v>0</v>
      </c>
      <c r="B1" s="1" t="s">
        <v>1</v>
      </c>
      <c r="C1" s="1" t="s">
        <v>2</v>
      </c>
      <c r="D1" s="1" t="s">
        <v>3</v>
      </c>
      <c r="E1" s="1" t="s">
        <v>4</v>
      </c>
    </row>
    <row r="2" spans="1:5" x14ac:dyDescent="0.3">
      <c r="A2" t="s">
        <v>5</v>
      </c>
      <c r="B2" t="s">
        <v>6</v>
      </c>
      <c r="C2" t="s">
        <v>7</v>
      </c>
      <c r="D2" t="s">
        <v>8</v>
      </c>
      <c r="E2">
        <v>4.5999999999999996</v>
      </c>
    </row>
    <row r="3" spans="1:5" x14ac:dyDescent="0.3">
      <c r="A3" t="s">
        <v>9</v>
      </c>
      <c r="B3" t="s">
        <v>10</v>
      </c>
      <c r="C3" t="s">
        <v>11</v>
      </c>
      <c r="D3" t="s">
        <v>8</v>
      </c>
      <c r="E3">
        <v>4.5</v>
      </c>
    </row>
    <row r="4" spans="1:5" x14ac:dyDescent="0.3">
      <c r="A4" t="s">
        <v>12</v>
      </c>
      <c r="B4" t="s">
        <v>13</v>
      </c>
      <c r="C4" t="s">
        <v>14</v>
      </c>
      <c r="D4" t="s">
        <v>8</v>
      </c>
      <c r="E4">
        <v>4.4000000000000004</v>
      </c>
    </row>
    <row r="5" spans="1:5" x14ac:dyDescent="0.3">
      <c r="A5" t="s">
        <v>15</v>
      </c>
      <c r="B5" t="s">
        <v>16</v>
      </c>
      <c r="C5" t="s">
        <v>17</v>
      </c>
      <c r="D5" t="s">
        <v>18</v>
      </c>
      <c r="E5">
        <v>4.5</v>
      </c>
    </row>
    <row r="6" spans="1:5" x14ac:dyDescent="0.3">
      <c r="A6" t="s">
        <v>19</v>
      </c>
      <c r="B6" t="s">
        <v>20</v>
      </c>
      <c r="C6" t="s">
        <v>7</v>
      </c>
      <c r="D6" t="s">
        <v>8</v>
      </c>
      <c r="E6">
        <v>4.2</v>
      </c>
    </row>
    <row r="7" spans="1:5" x14ac:dyDescent="0.3">
      <c r="A7" t="s">
        <v>21</v>
      </c>
      <c r="B7" t="s">
        <v>22</v>
      </c>
      <c r="C7" t="s">
        <v>23</v>
      </c>
      <c r="D7" t="s">
        <v>8</v>
      </c>
      <c r="E7">
        <v>4.7</v>
      </c>
    </row>
    <row r="8" spans="1:5" x14ac:dyDescent="0.3">
      <c r="A8" t="s">
        <v>24</v>
      </c>
      <c r="B8" t="s">
        <v>25</v>
      </c>
      <c r="C8" t="s">
        <v>23</v>
      </c>
      <c r="D8" t="s">
        <v>26</v>
      </c>
      <c r="E8">
        <v>4.0999999999999996</v>
      </c>
    </row>
    <row r="9" spans="1:5" x14ac:dyDescent="0.3">
      <c r="A9" t="s">
        <v>27</v>
      </c>
      <c r="B9" t="s">
        <v>28</v>
      </c>
      <c r="C9" t="s">
        <v>7</v>
      </c>
      <c r="D9" t="s">
        <v>18</v>
      </c>
      <c r="E9">
        <v>4.5999999999999996</v>
      </c>
    </row>
    <row r="10" spans="1:5" x14ac:dyDescent="0.3">
      <c r="A10" t="s">
        <v>29</v>
      </c>
      <c r="B10" t="s">
        <v>30</v>
      </c>
      <c r="C10" t="s">
        <v>14</v>
      </c>
      <c r="D10" t="s">
        <v>8</v>
      </c>
      <c r="E10">
        <v>4.3</v>
      </c>
    </row>
    <row r="11" spans="1:5" x14ac:dyDescent="0.3">
      <c r="A11" t="s">
        <v>31</v>
      </c>
      <c r="B11" t="s">
        <v>32</v>
      </c>
      <c r="C11" t="s">
        <v>17</v>
      </c>
      <c r="D11" t="s">
        <v>8</v>
      </c>
      <c r="E11">
        <v>4.4000000000000004</v>
      </c>
    </row>
    <row r="12" spans="1:5" x14ac:dyDescent="0.3">
      <c r="A12" t="s">
        <v>33</v>
      </c>
      <c r="B12" t="s">
        <v>34</v>
      </c>
      <c r="C12" t="s">
        <v>17</v>
      </c>
      <c r="D12" t="s">
        <v>18</v>
      </c>
      <c r="E12">
        <v>4</v>
      </c>
    </row>
    <row r="13" spans="1:5" x14ac:dyDescent="0.3">
      <c r="A13" t="s">
        <v>35</v>
      </c>
      <c r="B13" t="s">
        <v>36</v>
      </c>
      <c r="C13" t="s">
        <v>23</v>
      </c>
      <c r="D13" t="s">
        <v>26</v>
      </c>
      <c r="E13">
        <v>4.2</v>
      </c>
    </row>
    <row r="14" spans="1:5" x14ac:dyDescent="0.3">
      <c r="A14" t="s">
        <v>37</v>
      </c>
      <c r="B14" t="s">
        <v>38</v>
      </c>
      <c r="C14" t="s">
        <v>11</v>
      </c>
      <c r="D14" t="s">
        <v>8</v>
      </c>
      <c r="E14">
        <v>4.5</v>
      </c>
    </row>
    <row r="15" spans="1:5" x14ac:dyDescent="0.3">
      <c r="A15" t="s">
        <v>39</v>
      </c>
      <c r="B15" t="s">
        <v>40</v>
      </c>
      <c r="C15" t="s">
        <v>17</v>
      </c>
      <c r="D15" t="s">
        <v>18</v>
      </c>
      <c r="E15">
        <v>4.0999999999999996</v>
      </c>
    </row>
    <row r="16" spans="1:5" x14ac:dyDescent="0.3">
      <c r="A16" t="s">
        <v>41</v>
      </c>
      <c r="B16" t="s">
        <v>42</v>
      </c>
      <c r="C16" t="s">
        <v>14</v>
      </c>
      <c r="D16" t="s">
        <v>8</v>
      </c>
      <c r="E16">
        <v>4.3</v>
      </c>
    </row>
    <row r="17" spans="1:5" x14ac:dyDescent="0.3">
      <c r="A17" t="s">
        <v>43</v>
      </c>
      <c r="B17" t="s">
        <v>44</v>
      </c>
      <c r="C17" t="s">
        <v>11</v>
      </c>
      <c r="D17" t="s">
        <v>8</v>
      </c>
      <c r="E17">
        <v>4.5999999999999996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22702-5E89-4CF3-863E-1968D81C215F}">
  <dimension ref="A1:K121"/>
  <sheetViews>
    <sheetView workbookViewId="0"/>
  </sheetViews>
  <sheetFormatPr defaultRowHeight="14.4" x14ac:dyDescent="0.3"/>
  <cols>
    <col min="1" max="1" width="9.77734375" bestFit="1" customWidth="1"/>
    <col min="2" max="2" width="14.109375" bestFit="1" customWidth="1"/>
    <col min="3" max="3" width="17.44140625" bestFit="1" customWidth="1"/>
    <col min="4" max="4" width="12.109375" bestFit="1" customWidth="1"/>
    <col min="5" max="5" width="11.21875" bestFit="1" customWidth="1"/>
    <col min="6" max="6" width="7.44140625" bestFit="1" customWidth="1"/>
    <col min="7" max="7" width="11.88671875" bestFit="1" customWidth="1"/>
    <col min="8" max="8" width="14.109375" bestFit="1" customWidth="1"/>
    <col min="9" max="9" width="8.5546875" bestFit="1" customWidth="1"/>
    <col min="10" max="10" width="10.5546875" bestFit="1" customWidth="1"/>
  </cols>
  <sheetData>
    <row r="1" spans="1:11" x14ac:dyDescent="0.3">
      <c r="A1" s="1" t="s">
        <v>45</v>
      </c>
      <c r="B1" s="1" t="s">
        <v>0</v>
      </c>
      <c r="C1" s="1" t="s">
        <v>1</v>
      </c>
      <c r="D1" s="1" t="s">
        <v>3</v>
      </c>
      <c r="E1" s="1" t="s">
        <v>46</v>
      </c>
      <c r="F1" s="1" t="s">
        <v>2</v>
      </c>
      <c r="G1" s="1" t="s">
        <v>47</v>
      </c>
      <c r="H1" s="1" t="s">
        <v>48</v>
      </c>
      <c r="I1" s="1" t="s">
        <v>49</v>
      </c>
      <c r="J1" s="1" t="s">
        <v>50</v>
      </c>
      <c r="K1" s="1" t="s">
        <v>51</v>
      </c>
    </row>
    <row r="2" spans="1:11" x14ac:dyDescent="0.3">
      <c r="A2" t="s">
        <v>52</v>
      </c>
      <c r="B2" t="s">
        <v>24</v>
      </c>
      <c r="C2" t="str">
        <f>_xlfn.XLOOKUP(B2, Restaurants!$A$2:$A$17, Restaurants!$B$2:$B$17, "Unknown")</f>
        <v>Noodle Bar</v>
      </c>
      <c r="D2" t="str">
        <f>_xlfn.XLOOKUP(B2, Restaurants!$A$2:$A$17, Restaurants!$D$2:$D$17, "Unknown")</f>
        <v>QSR</v>
      </c>
      <c r="E2" t="s">
        <v>53</v>
      </c>
      <c r="F2" t="s">
        <v>23</v>
      </c>
      <c r="G2" s="3">
        <v>45363</v>
      </c>
      <c r="H2">
        <v>40</v>
      </c>
      <c r="I2">
        <v>4</v>
      </c>
      <c r="J2" s="2">
        <v>1390</v>
      </c>
      <c r="K2" t="s">
        <v>54</v>
      </c>
    </row>
    <row r="3" spans="1:11" x14ac:dyDescent="0.3">
      <c r="A3" t="s">
        <v>55</v>
      </c>
      <c r="B3" t="s">
        <v>33</v>
      </c>
      <c r="C3" t="str">
        <f>_xlfn.XLOOKUP(B3, Restaurants!$A$2:$A$17, Restaurants!$B$2:$B$17, "Unknown")</f>
        <v>Wok Express</v>
      </c>
      <c r="D3" t="str">
        <f>_xlfn.XLOOKUP(B3, Restaurants!$A$2:$A$17, Restaurants!$D$2:$D$17, "Unknown")</f>
        <v>Cloud Kitchen</v>
      </c>
      <c r="E3" t="s">
        <v>53</v>
      </c>
      <c r="F3" t="s">
        <v>17</v>
      </c>
      <c r="G3" s="3">
        <v>45333</v>
      </c>
      <c r="H3">
        <v>24</v>
      </c>
      <c r="I3">
        <v>5</v>
      </c>
      <c r="J3" s="2">
        <v>1030</v>
      </c>
      <c r="K3" t="s">
        <v>54</v>
      </c>
    </row>
    <row r="4" spans="1:11" x14ac:dyDescent="0.3">
      <c r="A4" t="s">
        <v>56</v>
      </c>
      <c r="B4" t="s">
        <v>21</v>
      </c>
      <c r="C4" t="str">
        <f>_xlfn.XLOOKUP(B4, Restaurants!$A$2:$A$17, Restaurants!$B$2:$B$17, "Unknown")</f>
        <v>Toscano Trattoria</v>
      </c>
      <c r="D4" t="str">
        <f>_xlfn.XLOOKUP(B4, Restaurants!$A$2:$A$17, Restaurants!$D$2:$D$17, "Unknown")</f>
        <v>Dine-in</v>
      </c>
      <c r="E4" t="s">
        <v>57</v>
      </c>
      <c r="F4" t="s">
        <v>23</v>
      </c>
      <c r="G4" s="3">
        <v>45297</v>
      </c>
      <c r="H4">
        <v>38</v>
      </c>
      <c r="I4">
        <v>3</v>
      </c>
      <c r="J4" s="2">
        <v>1430</v>
      </c>
      <c r="K4" t="s">
        <v>54</v>
      </c>
    </row>
    <row r="5" spans="1:11" x14ac:dyDescent="0.3">
      <c r="A5" t="s">
        <v>58</v>
      </c>
      <c r="B5" t="s">
        <v>35</v>
      </c>
      <c r="C5" t="str">
        <f>_xlfn.XLOOKUP(B5, Restaurants!$A$2:$A$17, Restaurants!$B$2:$B$17, "Unknown")</f>
        <v>Madras Tiffin</v>
      </c>
      <c r="D5" t="str">
        <f>_xlfn.XLOOKUP(B5, Restaurants!$A$2:$A$17, Restaurants!$D$2:$D$17, "Unknown")</f>
        <v>QSR</v>
      </c>
      <c r="E5" t="s">
        <v>57</v>
      </c>
      <c r="F5" t="s">
        <v>23</v>
      </c>
      <c r="G5" s="3">
        <v>45339</v>
      </c>
      <c r="H5">
        <v>37</v>
      </c>
      <c r="I5">
        <v>4</v>
      </c>
      <c r="J5" s="2">
        <v>1210</v>
      </c>
      <c r="K5" t="s">
        <v>54</v>
      </c>
    </row>
    <row r="6" spans="1:11" x14ac:dyDescent="0.3">
      <c r="A6" t="s">
        <v>59</v>
      </c>
      <c r="B6" t="s">
        <v>41</v>
      </c>
      <c r="C6" t="str">
        <f>_xlfn.XLOOKUP(B6, Restaurants!$A$2:$A$17, Restaurants!$B$2:$B$17, "Unknown")</f>
        <v>Pind Balluchi</v>
      </c>
      <c r="D6" t="str">
        <f>_xlfn.XLOOKUP(B6, Restaurants!$A$2:$A$17, Restaurants!$D$2:$D$17, "Unknown")</f>
        <v>Dine-in</v>
      </c>
      <c r="E6" t="s">
        <v>57</v>
      </c>
      <c r="F6" t="s">
        <v>14</v>
      </c>
      <c r="G6" s="3">
        <v>45296</v>
      </c>
      <c r="H6">
        <v>37</v>
      </c>
      <c r="I6">
        <v>4</v>
      </c>
      <c r="J6" s="2">
        <v>1270</v>
      </c>
      <c r="K6" t="s">
        <v>54</v>
      </c>
    </row>
    <row r="7" spans="1:11" x14ac:dyDescent="0.3">
      <c r="A7" t="s">
        <v>60</v>
      </c>
      <c r="B7" t="s">
        <v>12</v>
      </c>
      <c r="C7" t="str">
        <f>_xlfn.XLOOKUP(B7, Restaurants!$A$2:$A$17, Restaurants!$B$2:$B$17, "Unknown")</f>
        <v>Mainland China</v>
      </c>
      <c r="D7" t="str">
        <f>_xlfn.XLOOKUP(B7, Restaurants!$A$2:$A$17, Restaurants!$D$2:$D$17, "Unknown")</f>
        <v>Dine-in</v>
      </c>
      <c r="E7" t="s">
        <v>53</v>
      </c>
      <c r="F7" t="s">
        <v>14</v>
      </c>
      <c r="G7" s="3">
        <v>45369</v>
      </c>
      <c r="H7">
        <v>29</v>
      </c>
      <c r="I7">
        <v>4</v>
      </c>
      <c r="J7" s="2">
        <v>410</v>
      </c>
      <c r="K7" t="s">
        <v>54</v>
      </c>
    </row>
    <row r="8" spans="1:11" x14ac:dyDescent="0.3">
      <c r="A8" t="s">
        <v>61</v>
      </c>
      <c r="B8" t="s">
        <v>15</v>
      </c>
      <c r="C8" t="str">
        <f>_xlfn.XLOOKUP(B8, Restaurants!$A$2:$A$17, Restaurants!$B$2:$B$17, "Unknown")</f>
        <v>Biryani By Kilo</v>
      </c>
      <c r="D8" t="str">
        <f>_xlfn.XLOOKUP(B8, Restaurants!$A$2:$A$17, Restaurants!$D$2:$D$17, "Unknown")</f>
        <v>Cloud Kitchen</v>
      </c>
      <c r="E8" t="s">
        <v>62</v>
      </c>
      <c r="F8" t="s">
        <v>17</v>
      </c>
      <c r="G8" s="3">
        <v>45376</v>
      </c>
      <c r="H8">
        <v>18</v>
      </c>
      <c r="I8">
        <v>4</v>
      </c>
      <c r="J8" s="2">
        <v>270</v>
      </c>
      <c r="K8" t="s">
        <v>54</v>
      </c>
    </row>
    <row r="9" spans="1:11" x14ac:dyDescent="0.3">
      <c r="A9" t="s">
        <v>63</v>
      </c>
      <c r="B9" t="s">
        <v>41</v>
      </c>
      <c r="C9" t="str">
        <f>_xlfn.XLOOKUP(B9, Restaurants!$A$2:$A$17, Restaurants!$B$2:$B$17, "Unknown")</f>
        <v>Pind Balluchi</v>
      </c>
      <c r="D9" t="str">
        <f>_xlfn.XLOOKUP(B9, Restaurants!$A$2:$A$17, Restaurants!$D$2:$D$17, "Unknown")</f>
        <v>Dine-in</v>
      </c>
      <c r="E9" t="s">
        <v>62</v>
      </c>
      <c r="F9" t="s">
        <v>14</v>
      </c>
      <c r="G9" s="3">
        <v>45302</v>
      </c>
      <c r="H9">
        <v>46</v>
      </c>
      <c r="I9">
        <v>3</v>
      </c>
      <c r="J9" s="2">
        <v>1170</v>
      </c>
      <c r="K9" t="s">
        <v>54</v>
      </c>
    </row>
    <row r="10" spans="1:11" x14ac:dyDescent="0.3">
      <c r="A10" t="s">
        <v>64</v>
      </c>
      <c r="B10" t="s">
        <v>5</v>
      </c>
      <c r="C10" t="str">
        <f>_xlfn.XLOOKUP(B10, Restaurants!$A$2:$A$17, Restaurants!$B$2:$B$17, "Unknown")</f>
        <v>Punjab Grill</v>
      </c>
      <c r="D10" t="str">
        <f>_xlfn.XLOOKUP(B10, Restaurants!$A$2:$A$17, Restaurants!$D$2:$D$17, "Unknown")</f>
        <v>Dine-in</v>
      </c>
      <c r="E10" t="s">
        <v>62</v>
      </c>
      <c r="F10" t="s">
        <v>7</v>
      </c>
      <c r="G10" s="3">
        <v>45308</v>
      </c>
      <c r="H10">
        <v>22</v>
      </c>
      <c r="I10">
        <v>4</v>
      </c>
      <c r="J10" s="2">
        <v>310</v>
      </c>
      <c r="K10" t="s">
        <v>54</v>
      </c>
    </row>
    <row r="11" spans="1:11" x14ac:dyDescent="0.3">
      <c r="A11" t="s">
        <v>65</v>
      </c>
      <c r="B11" t="s">
        <v>41</v>
      </c>
      <c r="C11" t="str">
        <f>_xlfn.XLOOKUP(B11, Restaurants!$A$2:$A$17, Restaurants!$B$2:$B$17, "Unknown")</f>
        <v>Pind Balluchi</v>
      </c>
      <c r="D11" t="str">
        <f>_xlfn.XLOOKUP(B11, Restaurants!$A$2:$A$17, Restaurants!$D$2:$D$17, "Unknown")</f>
        <v>Dine-in</v>
      </c>
      <c r="E11" t="s">
        <v>57</v>
      </c>
      <c r="F11" t="s">
        <v>14</v>
      </c>
      <c r="G11" s="3">
        <v>45361</v>
      </c>
      <c r="H11">
        <v>49</v>
      </c>
      <c r="I11">
        <v>4</v>
      </c>
      <c r="J11" s="2">
        <v>950</v>
      </c>
      <c r="K11" t="s">
        <v>54</v>
      </c>
    </row>
    <row r="12" spans="1:11" x14ac:dyDescent="0.3">
      <c r="A12" t="s">
        <v>66</v>
      </c>
      <c r="B12" t="s">
        <v>43</v>
      </c>
      <c r="C12" t="str">
        <f>_xlfn.XLOOKUP(B12, Restaurants!$A$2:$A$17, Restaurants!$B$2:$B$17, "Unknown")</f>
        <v>Osteria Delizia</v>
      </c>
      <c r="D12" t="str">
        <f>_xlfn.XLOOKUP(B12, Restaurants!$A$2:$A$17, Restaurants!$D$2:$D$17, "Unknown")</f>
        <v>Dine-in</v>
      </c>
      <c r="E12" t="s">
        <v>57</v>
      </c>
      <c r="F12" t="s">
        <v>11</v>
      </c>
      <c r="G12" s="3">
        <v>45321</v>
      </c>
      <c r="H12">
        <v>37</v>
      </c>
      <c r="I12">
        <v>5</v>
      </c>
      <c r="J12" s="2">
        <v>650</v>
      </c>
      <c r="K12" t="s">
        <v>54</v>
      </c>
    </row>
    <row r="13" spans="1:11" x14ac:dyDescent="0.3">
      <c r="A13" t="s">
        <v>67</v>
      </c>
      <c r="B13" t="s">
        <v>9</v>
      </c>
      <c r="C13" t="str">
        <f>_xlfn.XLOOKUP(B13, Restaurants!$A$2:$A$17, Restaurants!$B$2:$B$17, "Unknown")</f>
        <v>Bella Italia</v>
      </c>
      <c r="D13" t="str">
        <f>_xlfn.XLOOKUP(B13, Restaurants!$A$2:$A$17, Restaurants!$D$2:$D$17, "Unknown")</f>
        <v>Dine-in</v>
      </c>
      <c r="E13" t="s">
        <v>57</v>
      </c>
      <c r="F13" t="s">
        <v>11</v>
      </c>
      <c r="G13" s="3">
        <v>45340</v>
      </c>
      <c r="H13">
        <v>53</v>
      </c>
      <c r="I13">
        <v>3</v>
      </c>
      <c r="J13" s="2">
        <v>730</v>
      </c>
      <c r="K13" t="s">
        <v>68</v>
      </c>
    </row>
    <row r="14" spans="1:11" x14ac:dyDescent="0.3">
      <c r="A14" t="s">
        <v>69</v>
      </c>
      <c r="B14" t="s">
        <v>35</v>
      </c>
      <c r="C14" t="str">
        <f>_xlfn.XLOOKUP(B14, Restaurants!$A$2:$A$17, Restaurants!$B$2:$B$17, "Unknown")</f>
        <v>Madras Tiffin</v>
      </c>
      <c r="D14" t="str">
        <f>_xlfn.XLOOKUP(B14, Restaurants!$A$2:$A$17, Restaurants!$D$2:$D$17, "Unknown")</f>
        <v>QSR</v>
      </c>
      <c r="E14" t="s">
        <v>70</v>
      </c>
      <c r="F14" t="s">
        <v>23</v>
      </c>
      <c r="G14" s="3">
        <v>45304</v>
      </c>
      <c r="H14">
        <v>41</v>
      </c>
      <c r="I14">
        <v>3</v>
      </c>
      <c r="J14" s="2">
        <v>890</v>
      </c>
      <c r="K14" t="s">
        <v>54</v>
      </c>
    </row>
    <row r="15" spans="1:11" x14ac:dyDescent="0.3">
      <c r="A15" t="s">
        <v>71</v>
      </c>
      <c r="B15" t="s">
        <v>31</v>
      </c>
      <c r="C15" t="str">
        <f>_xlfn.XLOOKUP(B15, Restaurants!$A$2:$A$17, Restaurants!$B$2:$B$17, "Unknown")</f>
        <v>Little Italy</v>
      </c>
      <c r="D15" t="str">
        <f>_xlfn.XLOOKUP(B15, Restaurants!$A$2:$A$17, Restaurants!$D$2:$D$17, "Unknown")</f>
        <v>Dine-in</v>
      </c>
      <c r="E15" t="s">
        <v>53</v>
      </c>
      <c r="F15" t="s">
        <v>17</v>
      </c>
      <c r="G15" s="3">
        <v>45350</v>
      </c>
      <c r="H15">
        <v>37</v>
      </c>
      <c r="I15">
        <v>5</v>
      </c>
      <c r="J15" s="2">
        <v>410</v>
      </c>
      <c r="K15" t="s">
        <v>54</v>
      </c>
    </row>
    <row r="16" spans="1:11" x14ac:dyDescent="0.3">
      <c r="A16" t="s">
        <v>72</v>
      </c>
      <c r="B16" t="s">
        <v>73</v>
      </c>
      <c r="C16" t="str">
        <f>_xlfn.XLOOKUP(B16, Restaurants!$A$2:$A$17, Restaurants!$B$2:$B$17, "Unknown")</f>
        <v>Unknown</v>
      </c>
      <c r="D16" t="str">
        <f>_xlfn.XLOOKUP(B16, Restaurants!$A$2:$A$17, Restaurants!$D$2:$D$17, "Unknown")</f>
        <v>Unknown</v>
      </c>
      <c r="E16" t="s">
        <v>70</v>
      </c>
      <c r="F16" t="s">
        <v>11</v>
      </c>
      <c r="G16" s="3">
        <v>45297</v>
      </c>
      <c r="H16">
        <v>20</v>
      </c>
      <c r="I16">
        <v>5</v>
      </c>
      <c r="J16" s="2">
        <v>1030</v>
      </c>
      <c r="K16" t="s">
        <v>54</v>
      </c>
    </row>
    <row r="17" spans="1:11" x14ac:dyDescent="0.3">
      <c r="A17" t="s">
        <v>74</v>
      </c>
      <c r="B17" t="s">
        <v>12</v>
      </c>
      <c r="C17" t="str">
        <f>_xlfn.XLOOKUP(B17, Restaurants!$A$2:$A$17, Restaurants!$B$2:$B$17, "Unknown")</f>
        <v>Mainland China</v>
      </c>
      <c r="D17" t="str">
        <f>_xlfn.XLOOKUP(B17, Restaurants!$A$2:$A$17, Restaurants!$D$2:$D$17, "Unknown")</f>
        <v>Dine-in</v>
      </c>
      <c r="E17" t="s">
        <v>53</v>
      </c>
      <c r="F17" t="s">
        <v>14</v>
      </c>
      <c r="G17" s="3">
        <v>45334</v>
      </c>
      <c r="H17">
        <v>25</v>
      </c>
      <c r="I17">
        <v>4</v>
      </c>
      <c r="J17" s="2">
        <v>510</v>
      </c>
      <c r="K17" t="s">
        <v>68</v>
      </c>
    </row>
    <row r="18" spans="1:11" x14ac:dyDescent="0.3">
      <c r="A18" t="s">
        <v>75</v>
      </c>
      <c r="B18" t="s">
        <v>19</v>
      </c>
      <c r="C18" t="str">
        <f>_xlfn.XLOOKUP(B18, Restaurants!$A$2:$A$17, Restaurants!$B$2:$B$17, "Unknown")</f>
        <v>Kake Da Dhaba</v>
      </c>
      <c r="D18" t="str">
        <f>_xlfn.XLOOKUP(B18, Restaurants!$A$2:$A$17, Restaurants!$D$2:$D$17, "Unknown")</f>
        <v>Dine-in</v>
      </c>
      <c r="E18" t="s">
        <v>57</v>
      </c>
      <c r="F18" t="s">
        <v>7</v>
      </c>
      <c r="G18" s="3">
        <v>45313</v>
      </c>
      <c r="H18">
        <v>21</v>
      </c>
      <c r="I18">
        <v>5</v>
      </c>
      <c r="J18" s="2">
        <v>1250</v>
      </c>
      <c r="K18" t="s">
        <v>54</v>
      </c>
    </row>
    <row r="19" spans="1:11" x14ac:dyDescent="0.3">
      <c r="A19" t="s">
        <v>76</v>
      </c>
      <c r="B19" t="s">
        <v>24</v>
      </c>
      <c r="C19" t="str">
        <f>_xlfn.XLOOKUP(B19, Restaurants!$A$2:$A$17, Restaurants!$B$2:$B$17, "Unknown")</f>
        <v>Noodle Bar</v>
      </c>
      <c r="D19" t="str">
        <f>_xlfn.XLOOKUP(B19, Restaurants!$A$2:$A$17, Restaurants!$D$2:$D$17, "Unknown")</f>
        <v>QSR</v>
      </c>
      <c r="E19" t="s">
        <v>53</v>
      </c>
      <c r="F19" t="s">
        <v>23</v>
      </c>
      <c r="G19" s="3">
        <v>45334</v>
      </c>
      <c r="H19">
        <v>38</v>
      </c>
      <c r="I19">
        <v>4</v>
      </c>
      <c r="J19" s="2">
        <v>310</v>
      </c>
      <c r="K19" t="s">
        <v>68</v>
      </c>
    </row>
    <row r="20" spans="1:11" x14ac:dyDescent="0.3">
      <c r="A20" t="s">
        <v>77</v>
      </c>
      <c r="B20" t="s">
        <v>24</v>
      </c>
      <c r="C20" t="str">
        <f>_xlfn.XLOOKUP(B20, Restaurants!$A$2:$A$17, Restaurants!$B$2:$B$17, "Unknown")</f>
        <v>Noodle Bar</v>
      </c>
      <c r="D20" t="str">
        <f>_xlfn.XLOOKUP(B20, Restaurants!$A$2:$A$17, Restaurants!$D$2:$D$17, "Unknown")</f>
        <v>QSR</v>
      </c>
      <c r="E20" t="s">
        <v>53</v>
      </c>
      <c r="F20" t="s">
        <v>23</v>
      </c>
      <c r="G20" s="3">
        <v>45346</v>
      </c>
      <c r="H20">
        <v>23</v>
      </c>
      <c r="I20">
        <v>5</v>
      </c>
      <c r="J20" s="2">
        <v>370</v>
      </c>
      <c r="K20" t="s">
        <v>54</v>
      </c>
    </row>
    <row r="21" spans="1:11" x14ac:dyDescent="0.3">
      <c r="A21" t="s">
        <v>78</v>
      </c>
      <c r="B21" t="s">
        <v>21</v>
      </c>
      <c r="C21" t="str">
        <f>_xlfn.XLOOKUP(B21, Restaurants!$A$2:$A$17, Restaurants!$B$2:$B$17, "Unknown")</f>
        <v>Toscano Trattoria</v>
      </c>
      <c r="D21" t="str">
        <f>_xlfn.XLOOKUP(B21, Restaurants!$A$2:$A$17, Restaurants!$D$2:$D$17, "Unknown")</f>
        <v>Dine-in</v>
      </c>
      <c r="E21" t="s">
        <v>57</v>
      </c>
      <c r="F21" t="s">
        <v>23</v>
      </c>
      <c r="G21" s="3">
        <v>45371</v>
      </c>
      <c r="H21">
        <v>37</v>
      </c>
      <c r="I21">
        <v>4</v>
      </c>
      <c r="J21" s="2">
        <v>1370</v>
      </c>
      <c r="K21" t="s">
        <v>54</v>
      </c>
    </row>
    <row r="22" spans="1:11" x14ac:dyDescent="0.3">
      <c r="A22" t="s">
        <v>79</v>
      </c>
      <c r="B22" t="s">
        <v>35</v>
      </c>
      <c r="C22" t="str">
        <f>_xlfn.XLOOKUP(B22, Restaurants!$A$2:$A$17, Restaurants!$B$2:$B$17, "Unknown")</f>
        <v>Madras Tiffin</v>
      </c>
      <c r="D22" t="str">
        <f>_xlfn.XLOOKUP(B22, Restaurants!$A$2:$A$17, Restaurants!$D$2:$D$17, "Unknown")</f>
        <v>QSR</v>
      </c>
      <c r="E22" t="s">
        <v>62</v>
      </c>
      <c r="F22" t="s">
        <v>23</v>
      </c>
      <c r="G22" s="3">
        <v>45311</v>
      </c>
      <c r="H22">
        <v>44</v>
      </c>
      <c r="I22">
        <v>2</v>
      </c>
      <c r="J22" s="2">
        <v>1330</v>
      </c>
      <c r="K22" t="s">
        <v>68</v>
      </c>
    </row>
    <row r="23" spans="1:11" x14ac:dyDescent="0.3">
      <c r="A23" t="s">
        <v>80</v>
      </c>
      <c r="B23" t="s">
        <v>24</v>
      </c>
      <c r="C23" t="str">
        <f>_xlfn.XLOOKUP(B23, Restaurants!$A$2:$A$17, Restaurants!$B$2:$B$17, "Unknown")</f>
        <v>Noodle Bar</v>
      </c>
      <c r="D23" t="str">
        <f>_xlfn.XLOOKUP(B23, Restaurants!$A$2:$A$17, Restaurants!$D$2:$D$17, "Unknown")</f>
        <v>QSR</v>
      </c>
      <c r="E23" t="s">
        <v>53</v>
      </c>
      <c r="F23" t="s">
        <v>23</v>
      </c>
      <c r="G23" s="3">
        <v>45373</v>
      </c>
      <c r="H23">
        <v>34</v>
      </c>
      <c r="I23">
        <v>4</v>
      </c>
      <c r="J23" s="2">
        <v>770</v>
      </c>
      <c r="K23" t="s">
        <v>54</v>
      </c>
    </row>
    <row r="24" spans="1:11" x14ac:dyDescent="0.3">
      <c r="A24" t="s">
        <v>81</v>
      </c>
      <c r="B24" t="s">
        <v>15</v>
      </c>
      <c r="C24" t="str">
        <f>_xlfn.XLOOKUP(B24, Restaurants!$A$2:$A$17, Restaurants!$B$2:$B$17, "Unknown")</f>
        <v>Biryani By Kilo</v>
      </c>
      <c r="D24" t="str">
        <f>_xlfn.XLOOKUP(B24, Restaurants!$A$2:$A$17, Restaurants!$D$2:$D$17, "Unknown")</f>
        <v>Cloud Kitchen</v>
      </c>
      <c r="E24" t="s">
        <v>62</v>
      </c>
      <c r="F24" t="s">
        <v>17</v>
      </c>
      <c r="G24" s="3">
        <v>45323</v>
      </c>
      <c r="H24">
        <v>22</v>
      </c>
      <c r="I24">
        <v>5</v>
      </c>
      <c r="J24" s="2">
        <v>970</v>
      </c>
      <c r="K24" t="s">
        <v>54</v>
      </c>
    </row>
    <row r="25" spans="1:11" x14ac:dyDescent="0.3">
      <c r="A25" t="s">
        <v>82</v>
      </c>
      <c r="B25" t="s">
        <v>31</v>
      </c>
      <c r="C25" t="str">
        <f>_xlfn.XLOOKUP(B25, Restaurants!$A$2:$A$17, Restaurants!$B$2:$B$17, "Unknown")</f>
        <v>Little Italy</v>
      </c>
      <c r="D25" t="str">
        <f>_xlfn.XLOOKUP(B25, Restaurants!$A$2:$A$17, Restaurants!$D$2:$D$17, "Unknown")</f>
        <v>Dine-in</v>
      </c>
      <c r="E25" t="s">
        <v>62</v>
      </c>
      <c r="F25" t="s">
        <v>17</v>
      </c>
      <c r="G25" s="3">
        <v>45313</v>
      </c>
      <c r="H25">
        <v>25</v>
      </c>
      <c r="I25">
        <v>4</v>
      </c>
      <c r="J25" s="2">
        <v>870</v>
      </c>
      <c r="K25" t="s">
        <v>54</v>
      </c>
    </row>
    <row r="26" spans="1:11" x14ac:dyDescent="0.3">
      <c r="A26" t="s">
        <v>83</v>
      </c>
      <c r="B26" t="s">
        <v>29</v>
      </c>
      <c r="C26" t="str">
        <f>_xlfn.XLOOKUP(B26, Restaurants!$A$2:$A$17, Restaurants!$B$2:$B$17, "Unknown")</f>
        <v>Moti Mahal Delux</v>
      </c>
      <c r="D26" t="str">
        <f>_xlfn.XLOOKUP(B26, Restaurants!$A$2:$A$17, Restaurants!$D$2:$D$17, "Unknown")</f>
        <v>Dine-in</v>
      </c>
      <c r="E26" t="s">
        <v>62</v>
      </c>
      <c r="F26" t="s">
        <v>14</v>
      </c>
      <c r="G26" s="3">
        <v>45324</v>
      </c>
      <c r="H26">
        <v>35</v>
      </c>
      <c r="I26">
        <v>4</v>
      </c>
      <c r="J26" s="2">
        <v>1210</v>
      </c>
      <c r="K26" t="s">
        <v>84</v>
      </c>
    </row>
    <row r="27" spans="1:11" x14ac:dyDescent="0.3">
      <c r="A27" t="s">
        <v>85</v>
      </c>
      <c r="B27" t="s">
        <v>33</v>
      </c>
      <c r="C27" t="str">
        <f>_xlfn.XLOOKUP(B27, Restaurants!$A$2:$A$17, Restaurants!$B$2:$B$17, "Unknown")</f>
        <v>Wok Express</v>
      </c>
      <c r="D27" t="str">
        <f>_xlfn.XLOOKUP(B27, Restaurants!$A$2:$A$17, Restaurants!$D$2:$D$17, "Unknown")</f>
        <v>Cloud Kitchen</v>
      </c>
      <c r="E27" t="s">
        <v>53</v>
      </c>
      <c r="F27" t="s">
        <v>17</v>
      </c>
      <c r="G27" s="3">
        <v>45346</v>
      </c>
      <c r="H27">
        <v>18</v>
      </c>
      <c r="I27">
        <v>5</v>
      </c>
      <c r="J27" s="2">
        <v>1310</v>
      </c>
      <c r="K27" t="s">
        <v>54</v>
      </c>
    </row>
    <row r="28" spans="1:11" x14ac:dyDescent="0.3">
      <c r="A28" t="s">
        <v>86</v>
      </c>
      <c r="B28" t="s">
        <v>43</v>
      </c>
      <c r="C28" t="str">
        <f>_xlfn.XLOOKUP(B28, Restaurants!$A$2:$A$17, Restaurants!$B$2:$B$17, "Unknown")</f>
        <v>Osteria Delizia</v>
      </c>
      <c r="D28" t="str">
        <f>_xlfn.XLOOKUP(B28, Restaurants!$A$2:$A$17, Restaurants!$D$2:$D$17, "Unknown")</f>
        <v>Dine-in</v>
      </c>
      <c r="E28" t="s">
        <v>57</v>
      </c>
      <c r="F28" t="s">
        <v>11</v>
      </c>
      <c r="G28" s="3">
        <v>45373</v>
      </c>
      <c r="H28">
        <v>24</v>
      </c>
      <c r="I28">
        <v>5</v>
      </c>
      <c r="J28" s="2">
        <v>870</v>
      </c>
      <c r="K28" t="s">
        <v>54</v>
      </c>
    </row>
    <row r="29" spans="1:11" x14ac:dyDescent="0.3">
      <c r="A29" t="s">
        <v>87</v>
      </c>
      <c r="B29" t="s">
        <v>24</v>
      </c>
      <c r="C29" t="str">
        <f>_xlfn.XLOOKUP(B29, Restaurants!$A$2:$A$17, Restaurants!$B$2:$B$17, "Unknown")</f>
        <v>Noodle Bar</v>
      </c>
      <c r="D29" t="str">
        <f>_xlfn.XLOOKUP(B29, Restaurants!$A$2:$A$17, Restaurants!$D$2:$D$17, "Unknown")</f>
        <v>QSR</v>
      </c>
      <c r="E29" t="s">
        <v>53</v>
      </c>
      <c r="F29" t="s">
        <v>23</v>
      </c>
      <c r="G29" s="3">
        <v>45352</v>
      </c>
      <c r="H29">
        <v>32</v>
      </c>
      <c r="I29">
        <v>5</v>
      </c>
      <c r="J29" s="2">
        <v>1410</v>
      </c>
      <c r="K29" t="s">
        <v>54</v>
      </c>
    </row>
    <row r="30" spans="1:11" x14ac:dyDescent="0.3">
      <c r="A30" t="s">
        <v>88</v>
      </c>
      <c r="B30" t="s">
        <v>21</v>
      </c>
      <c r="C30" t="str">
        <f>_xlfn.XLOOKUP(B30, Restaurants!$A$2:$A$17, Restaurants!$B$2:$B$17, "Unknown")</f>
        <v>Toscano Trattoria</v>
      </c>
      <c r="D30" t="str">
        <f>_xlfn.XLOOKUP(B30, Restaurants!$A$2:$A$17, Restaurants!$D$2:$D$17, "Unknown")</f>
        <v>Dine-in</v>
      </c>
      <c r="E30" t="s">
        <v>57</v>
      </c>
      <c r="F30" t="s">
        <v>23</v>
      </c>
      <c r="G30" s="3">
        <v>45325</v>
      </c>
      <c r="H30">
        <v>48</v>
      </c>
      <c r="I30">
        <v>3</v>
      </c>
      <c r="J30" s="2">
        <v>1190</v>
      </c>
      <c r="K30" t="s">
        <v>54</v>
      </c>
    </row>
    <row r="31" spans="1:11" x14ac:dyDescent="0.3">
      <c r="A31" t="s">
        <v>89</v>
      </c>
      <c r="B31" t="s">
        <v>29</v>
      </c>
      <c r="C31" t="str">
        <f>_xlfn.XLOOKUP(B31, Restaurants!$A$2:$A$17, Restaurants!$B$2:$B$17, "Unknown")</f>
        <v>Moti Mahal Delux</v>
      </c>
      <c r="D31" t="str">
        <f>_xlfn.XLOOKUP(B31, Restaurants!$A$2:$A$17, Restaurants!$D$2:$D$17, "Unknown")</f>
        <v>Dine-in</v>
      </c>
      <c r="E31" t="s">
        <v>62</v>
      </c>
      <c r="F31" t="s">
        <v>14</v>
      </c>
      <c r="G31" s="3">
        <v>45337</v>
      </c>
      <c r="H31">
        <v>48</v>
      </c>
      <c r="I31">
        <v>3</v>
      </c>
      <c r="J31" s="2">
        <v>290</v>
      </c>
      <c r="K31" t="s">
        <v>54</v>
      </c>
    </row>
    <row r="32" spans="1:11" x14ac:dyDescent="0.3">
      <c r="A32" t="s">
        <v>90</v>
      </c>
      <c r="B32" t="s">
        <v>33</v>
      </c>
      <c r="C32" t="str">
        <f>_xlfn.XLOOKUP(B32, Restaurants!$A$2:$A$17, Restaurants!$B$2:$B$17, "Unknown")</f>
        <v>Wok Express</v>
      </c>
      <c r="D32" t="str">
        <f>_xlfn.XLOOKUP(B32, Restaurants!$A$2:$A$17, Restaurants!$D$2:$D$17, "Unknown")</f>
        <v>Cloud Kitchen</v>
      </c>
      <c r="E32" t="s">
        <v>53</v>
      </c>
      <c r="F32" t="s">
        <v>17</v>
      </c>
      <c r="G32" s="3">
        <v>45311</v>
      </c>
      <c r="H32">
        <v>37</v>
      </c>
      <c r="I32">
        <v>4</v>
      </c>
      <c r="J32" s="2">
        <v>370</v>
      </c>
      <c r="K32" t="s">
        <v>54</v>
      </c>
    </row>
    <row r="33" spans="1:11" x14ac:dyDescent="0.3">
      <c r="A33" t="s">
        <v>91</v>
      </c>
      <c r="B33" t="s">
        <v>5</v>
      </c>
      <c r="C33" t="str">
        <f>_xlfn.XLOOKUP(B33, Restaurants!$A$2:$A$17, Restaurants!$B$2:$B$17, "Unknown")</f>
        <v>Punjab Grill</v>
      </c>
      <c r="D33" t="str">
        <f>_xlfn.XLOOKUP(B33, Restaurants!$A$2:$A$17, Restaurants!$D$2:$D$17, "Unknown")</f>
        <v>Dine-in</v>
      </c>
      <c r="E33" t="s">
        <v>62</v>
      </c>
      <c r="F33" t="s">
        <v>7</v>
      </c>
      <c r="G33" s="3">
        <v>45326</v>
      </c>
      <c r="H33">
        <v>32</v>
      </c>
      <c r="I33">
        <v>5</v>
      </c>
      <c r="J33" s="2">
        <v>250</v>
      </c>
      <c r="K33" t="s">
        <v>54</v>
      </c>
    </row>
    <row r="34" spans="1:11" x14ac:dyDescent="0.3">
      <c r="A34" t="s">
        <v>92</v>
      </c>
      <c r="B34" t="s">
        <v>29</v>
      </c>
      <c r="C34" t="str">
        <f>_xlfn.XLOOKUP(B34, Restaurants!$A$2:$A$17, Restaurants!$B$2:$B$17, "Unknown")</f>
        <v>Moti Mahal Delux</v>
      </c>
      <c r="D34" t="str">
        <f>_xlfn.XLOOKUP(B34, Restaurants!$A$2:$A$17, Restaurants!$D$2:$D$17, "Unknown")</f>
        <v>Dine-in</v>
      </c>
      <c r="E34" t="s">
        <v>70</v>
      </c>
      <c r="F34" t="s">
        <v>14</v>
      </c>
      <c r="G34" s="3">
        <v>45310</v>
      </c>
      <c r="H34">
        <v>52</v>
      </c>
      <c r="I34">
        <v>2</v>
      </c>
      <c r="J34" s="2">
        <v>550</v>
      </c>
      <c r="K34" t="s">
        <v>84</v>
      </c>
    </row>
    <row r="35" spans="1:11" x14ac:dyDescent="0.3">
      <c r="A35" t="s">
        <v>93</v>
      </c>
      <c r="B35" t="s">
        <v>29</v>
      </c>
      <c r="C35" t="str">
        <f>_xlfn.XLOOKUP(B35, Restaurants!$A$2:$A$17, Restaurants!$B$2:$B$17, "Unknown")</f>
        <v>Moti Mahal Delux</v>
      </c>
      <c r="D35" t="str">
        <f>_xlfn.XLOOKUP(B35, Restaurants!$A$2:$A$17, Restaurants!$D$2:$D$17, "Unknown")</f>
        <v>Dine-in</v>
      </c>
      <c r="E35" t="s">
        <v>62</v>
      </c>
      <c r="F35" t="s">
        <v>14</v>
      </c>
      <c r="G35" s="3">
        <v>45339</v>
      </c>
      <c r="H35">
        <v>39</v>
      </c>
      <c r="I35">
        <v>4</v>
      </c>
      <c r="J35" s="2">
        <v>1190</v>
      </c>
      <c r="K35" t="s">
        <v>84</v>
      </c>
    </row>
    <row r="36" spans="1:11" x14ac:dyDescent="0.3">
      <c r="A36" t="s">
        <v>94</v>
      </c>
      <c r="B36" t="s">
        <v>19</v>
      </c>
      <c r="C36" t="str">
        <f>_xlfn.XLOOKUP(B36, Restaurants!$A$2:$A$17, Restaurants!$B$2:$B$17, "Unknown")</f>
        <v>Kake Da Dhaba</v>
      </c>
      <c r="D36" t="str">
        <f>_xlfn.XLOOKUP(B36, Restaurants!$A$2:$A$17, Restaurants!$D$2:$D$17, "Unknown")</f>
        <v>Dine-in</v>
      </c>
      <c r="E36" t="s">
        <v>70</v>
      </c>
      <c r="F36" t="s">
        <v>7</v>
      </c>
      <c r="G36" s="3">
        <v>45371</v>
      </c>
      <c r="H36">
        <v>21</v>
      </c>
      <c r="I36">
        <v>5</v>
      </c>
      <c r="J36" s="2">
        <v>550</v>
      </c>
      <c r="K36" t="s">
        <v>68</v>
      </c>
    </row>
    <row r="37" spans="1:11" x14ac:dyDescent="0.3">
      <c r="A37" t="s">
        <v>95</v>
      </c>
      <c r="B37" t="s">
        <v>27</v>
      </c>
      <c r="C37" t="str">
        <f>_xlfn.XLOOKUP(B37, Restaurants!$A$2:$A$17, Restaurants!$B$2:$B$17, "Unknown")</f>
        <v>Behrouz Biryani</v>
      </c>
      <c r="D37" t="str">
        <f>_xlfn.XLOOKUP(B37, Restaurants!$A$2:$A$17, Restaurants!$D$2:$D$17, "Unknown")</f>
        <v>Cloud Kitchen</v>
      </c>
      <c r="E37" t="s">
        <v>62</v>
      </c>
      <c r="F37" t="s">
        <v>7</v>
      </c>
      <c r="G37" s="3">
        <v>45328</v>
      </c>
      <c r="H37">
        <v>19</v>
      </c>
      <c r="I37">
        <v>5</v>
      </c>
      <c r="J37" s="2">
        <v>1270</v>
      </c>
      <c r="K37" t="s">
        <v>54</v>
      </c>
    </row>
    <row r="38" spans="1:11" x14ac:dyDescent="0.3">
      <c r="A38" t="s">
        <v>96</v>
      </c>
      <c r="B38" t="s">
        <v>27</v>
      </c>
      <c r="C38" t="str">
        <f>_xlfn.XLOOKUP(B38, Restaurants!$A$2:$A$17, Restaurants!$B$2:$B$17, "Unknown")</f>
        <v>Behrouz Biryani</v>
      </c>
      <c r="D38" t="str">
        <f>_xlfn.XLOOKUP(B38, Restaurants!$A$2:$A$17, Restaurants!$D$2:$D$17, "Unknown")</f>
        <v>Cloud Kitchen</v>
      </c>
      <c r="E38" t="s">
        <v>62</v>
      </c>
      <c r="F38" t="s">
        <v>7</v>
      </c>
      <c r="G38" s="3">
        <v>45362</v>
      </c>
      <c r="H38">
        <v>34</v>
      </c>
      <c r="I38">
        <v>4</v>
      </c>
      <c r="J38" s="2">
        <v>730</v>
      </c>
      <c r="K38" t="s">
        <v>54</v>
      </c>
    </row>
    <row r="39" spans="1:11" x14ac:dyDescent="0.3">
      <c r="A39" t="s">
        <v>97</v>
      </c>
      <c r="B39" t="s">
        <v>37</v>
      </c>
      <c r="C39" t="str">
        <f>_xlfn.XLOOKUP(B39, Restaurants!$A$2:$A$17, Restaurants!$B$2:$B$17, "Unknown")</f>
        <v>Paradise Biryani</v>
      </c>
      <c r="D39" t="str">
        <f>_xlfn.XLOOKUP(B39, Restaurants!$A$2:$A$17, Restaurants!$D$2:$D$17, "Unknown")</f>
        <v>Dine-in</v>
      </c>
      <c r="E39" t="s">
        <v>62</v>
      </c>
      <c r="F39" t="s">
        <v>11</v>
      </c>
      <c r="G39" s="3">
        <v>45317</v>
      </c>
      <c r="H39">
        <v>46</v>
      </c>
      <c r="I39">
        <v>2</v>
      </c>
      <c r="J39" s="2">
        <v>270</v>
      </c>
      <c r="K39" t="s">
        <v>54</v>
      </c>
    </row>
    <row r="40" spans="1:11" x14ac:dyDescent="0.3">
      <c r="A40" t="s">
        <v>98</v>
      </c>
      <c r="B40" t="s">
        <v>43</v>
      </c>
      <c r="C40" t="str">
        <f>_xlfn.XLOOKUP(B40, Restaurants!$A$2:$A$17, Restaurants!$B$2:$B$17, "Unknown")</f>
        <v>Osteria Delizia</v>
      </c>
      <c r="D40" t="str">
        <f>_xlfn.XLOOKUP(B40, Restaurants!$A$2:$A$17, Restaurants!$D$2:$D$17, "Unknown")</f>
        <v>Dine-in</v>
      </c>
      <c r="E40" t="s">
        <v>57</v>
      </c>
      <c r="F40" t="s">
        <v>11</v>
      </c>
      <c r="G40" s="3">
        <v>45381</v>
      </c>
      <c r="H40">
        <v>18</v>
      </c>
      <c r="I40">
        <v>5</v>
      </c>
      <c r="J40" s="2">
        <v>390</v>
      </c>
      <c r="K40" t="s">
        <v>68</v>
      </c>
    </row>
    <row r="41" spans="1:11" x14ac:dyDescent="0.3">
      <c r="A41" t="s">
        <v>99</v>
      </c>
      <c r="B41" t="s">
        <v>5</v>
      </c>
      <c r="C41" t="str">
        <f>_xlfn.XLOOKUP(B41, Restaurants!$A$2:$A$17, Restaurants!$B$2:$B$17, "Unknown")</f>
        <v>Punjab Grill</v>
      </c>
      <c r="D41" t="str">
        <f>_xlfn.XLOOKUP(B41, Restaurants!$A$2:$A$17, Restaurants!$D$2:$D$17, "Unknown")</f>
        <v>Dine-in</v>
      </c>
      <c r="E41" t="s">
        <v>62</v>
      </c>
      <c r="F41" t="s">
        <v>7</v>
      </c>
      <c r="G41" s="3">
        <v>45343</v>
      </c>
      <c r="H41">
        <v>26</v>
      </c>
      <c r="I41">
        <v>4</v>
      </c>
      <c r="J41" s="2">
        <v>1250</v>
      </c>
      <c r="K41" t="s">
        <v>54</v>
      </c>
    </row>
    <row r="42" spans="1:11" x14ac:dyDescent="0.3">
      <c r="A42" t="s">
        <v>100</v>
      </c>
      <c r="B42" t="s">
        <v>21</v>
      </c>
      <c r="C42" t="str">
        <f>_xlfn.XLOOKUP(B42, Restaurants!$A$2:$A$17, Restaurants!$B$2:$B$17, "Unknown")</f>
        <v>Toscano Trattoria</v>
      </c>
      <c r="D42" t="str">
        <f>_xlfn.XLOOKUP(B42, Restaurants!$A$2:$A$17, Restaurants!$D$2:$D$17, "Unknown")</f>
        <v>Dine-in</v>
      </c>
      <c r="E42" t="s">
        <v>57</v>
      </c>
      <c r="F42" t="s">
        <v>23</v>
      </c>
      <c r="G42" s="3">
        <v>45313</v>
      </c>
      <c r="H42">
        <v>35</v>
      </c>
      <c r="I42">
        <v>5</v>
      </c>
      <c r="J42" s="2">
        <v>770</v>
      </c>
      <c r="K42" t="s">
        <v>54</v>
      </c>
    </row>
    <row r="43" spans="1:11" x14ac:dyDescent="0.3">
      <c r="A43" t="s">
        <v>101</v>
      </c>
      <c r="B43" t="s">
        <v>19</v>
      </c>
      <c r="C43" t="str">
        <f>_xlfn.XLOOKUP(B43, Restaurants!$A$2:$A$17, Restaurants!$B$2:$B$17, "Unknown")</f>
        <v>Kake Da Dhaba</v>
      </c>
      <c r="D43" t="str">
        <f>_xlfn.XLOOKUP(B43, Restaurants!$A$2:$A$17, Restaurants!$D$2:$D$17, "Unknown")</f>
        <v>Dine-in</v>
      </c>
      <c r="E43" t="s">
        <v>57</v>
      </c>
      <c r="F43" t="s">
        <v>7</v>
      </c>
      <c r="G43" s="3">
        <v>45350</v>
      </c>
      <c r="H43">
        <v>30</v>
      </c>
      <c r="I43">
        <v>4</v>
      </c>
      <c r="J43" s="2">
        <v>890</v>
      </c>
      <c r="K43" t="s">
        <v>54</v>
      </c>
    </row>
    <row r="44" spans="1:11" x14ac:dyDescent="0.3">
      <c r="A44" t="s">
        <v>102</v>
      </c>
      <c r="B44" t="s">
        <v>37</v>
      </c>
      <c r="C44" t="str">
        <f>_xlfn.XLOOKUP(B44, Restaurants!$A$2:$A$17, Restaurants!$B$2:$B$17, "Unknown")</f>
        <v>Paradise Biryani</v>
      </c>
      <c r="D44" t="str">
        <f>_xlfn.XLOOKUP(B44, Restaurants!$A$2:$A$17, Restaurants!$D$2:$D$17, "Unknown")</f>
        <v>Dine-in</v>
      </c>
      <c r="E44" t="s">
        <v>62</v>
      </c>
      <c r="F44" t="s">
        <v>11</v>
      </c>
      <c r="G44" s="3">
        <v>45336</v>
      </c>
      <c r="H44">
        <v>43</v>
      </c>
      <c r="I44">
        <v>2</v>
      </c>
      <c r="J44" s="2">
        <v>1110</v>
      </c>
      <c r="K44" t="s">
        <v>84</v>
      </c>
    </row>
    <row r="45" spans="1:11" x14ac:dyDescent="0.3">
      <c r="A45" t="s">
        <v>103</v>
      </c>
      <c r="B45" t="s">
        <v>37</v>
      </c>
      <c r="C45" t="str">
        <f>_xlfn.XLOOKUP(B45, Restaurants!$A$2:$A$17, Restaurants!$B$2:$B$17, "Unknown")</f>
        <v>Paradise Biryani</v>
      </c>
      <c r="D45" t="str">
        <f>_xlfn.XLOOKUP(B45, Restaurants!$A$2:$A$17, Restaurants!$D$2:$D$17, "Unknown")</f>
        <v>Dine-in</v>
      </c>
      <c r="E45" t="s">
        <v>62</v>
      </c>
      <c r="F45" t="s">
        <v>11</v>
      </c>
      <c r="G45" s="3">
        <v>45317</v>
      </c>
      <c r="H45">
        <v>33</v>
      </c>
      <c r="I45">
        <v>5</v>
      </c>
      <c r="J45" s="2">
        <v>1430</v>
      </c>
      <c r="K45" t="s">
        <v>54</v>
      </c>
    </row>
    <row r="46" spans="1:11" x14ac:dyDescent="0.3">
      <c r="A46" t="s">
        <v>104</v>
      </c>
      <c r="B46" t="s">
        <v>27</v>
      </c>
      <c r="C46" t="str">
        <f>_xlfn.XLOOKUP(B46, Restaurants!$A$2:$A$17, Restaurants!$B$2:$B$17, "Unknown")</f>
        <v>Behrouz Biryani</v>
      </c>
      <c r="D46" t="str">
        <f>_xlfn.XLOOKUP(B46, Restaurants!$A$2:$A$17, Restaurants!$D$2:$D$17, "Unknown")</f>
        <v>Cloud Kitchen</v>
      </c>
      <c r="E46" t="s">
        <v>62</v>
      </c>
      <c r="F46" t="s">
        <v>7</v>
      </c>
      <c r="G46" s="3">
        <v>45321</v>
      </c>
      <c r="H46">
        <v>46</v>
      </c>
      <c r="I46">
        <v>4</v>
      </c>
      <c r="J46" s="2">
        <v>1270</v>
      </c>
      <c r="K46" t="s">
        <v>54</v>
      </c>
    </row>
    <row r="47" spans="1:11" x14ac:dyDescent="0.3">
      <c r="A47" t="s">
        <v>105</v>
      </c>
      <c r="B47" t="s">
        <v>19</v>
      </c>
      <c r="C47" t="str">
        <f>_xlfn.XLOOKUP(B47, Restaurants!$A$2:$A$17, Restaurants!$B$2:$B$17, "Unknown")</f>
        <v>Kake Da Dhaba</v>
      </c>
      <c r="D47" t="str">
        <f>_xlfn.XLOOKUP(B47, Restaurants!$A$2:$A$17, Restaurants!$D$2:$D$17, "Unknown")</f>
        <v>Dine-in</v>
      </c>
      <c r="E47" t="s">
        <v>62</v>
      </c>
      <c r="F47" t="s">
        <v>7</v>
      </c>
      <c r="G47" s="3">
        <v>45368</v>
      </c>
      <c r="H47">
        <v>40</v>
      </c>
      <c r="I47">
        <v>4</v>
      </c>
      <c r="J47" s="2">
        <v>590</v>
      </c>
      <c r="K47" t="s">
        <v>54</v>
      </c>
    </row>
    <row r="48" spans="1:11" x14ac:dyDescent="0.3">
      <c r="A48" t="s">
        <v>106</v>
      </c>
      <c r="B48" t="s">
        <v>41</v>
      </c>
      <c r="C48" t="str">
        <f>_xlfn.XLOOKUP(B48, Restaurants!$A$2:$A$17, Restaurants!$B$2:$B$17, "Unknown")</f>
        <v>Pind Balluchi</v>
      </c>
      <c r="D48" t="str">
        <f>_xlfn.XLOOKUP(B48, Restaurants!$A$2:$A$17, Restaurants!$D$2:$D$17, "Unknown")</f>
        <v>Dine-in</v>
      </c>
      <c r="E48" t="s">
        <v>57</v>
      </c>
      <c r="F48" t="s">
        <v>14</v>
      </c>
      <c r="G48" s="3">
        <v>45354</v>
      </c>
      <c r="H48">
        <v>28</v>
      </c>
      <c r="I48">
        <v>5</v>
      </c>
      <c r="J48" s="2">
        <v>670</v>
      </c>
      <c r="K48" t="s">
        <v>54</v>
      </c>
    </row>
    <row r="49" spans="1:11" x14ac:dyDescent="0.3">
      <c r="A49" t="s">
        <v>107</v>
      </c>
      <c r="B49" t="s">
        <v>41</v>
      </c>
      <c r="C49" t="str">
        <f>_xlfn.XLOOKUP(B49, Restaurants!$A$2:$A$17, Restaurants!$B$2:$B$17, "Unknown")</f>
        <v>Pind Balluchi</v>
      </c>
      <c r="D49" t="str">
        <f>_xlfn.XLOOKUP(B49, Restaurants!$A$2:$A$17, Restaurants!$D$2:$D$17, "Unknown")</f>
        <v>Dine-in</v>
      </c>
      <c r="E49" t="s">
        <v>53</v>
      </c>
      <c r="F49" t="s">
        <v>14</v>
      </c>
      <c r="G49" s="3">
        <v>45318</v>
      </c>
      <c r="H49">
        <v>37</v>
      </c>
      <c r="I49">
        <v>4</v>
      </c>
      <c r="J49" s="2">
        <v>1030</v>
      </c>
      <c r="K49" t="s">
        <v>54</v>
      </c>
    </row>
    <row r="50" spans="1:11" x14ac:dyDescent="0.3">
      <c r="A50" t="s">
        <v>108</v>
      </c>
      <c r="B50" t="s">
        <v>33</v>
      </c>
      <c r="C50" t="str">
        <f>_xlfn.XLOOKUP(B50, Restaurants!$A$2:$A$17, Restaurants!$B$2:$B$17, "Unknown")</f>
        <v>Wok Express</v>
      </c>
      <c r="D50" t="str">
        <f>_xlfn.XLOOKUP(B50, Restaurants!$A$2:$A$17, Restaurants!$D$2:$D$17, "Unknown")</f>
        <v>Cloud Kitchen</v>
      </c>
      <c r="E50" t="s">
        <v>53</v>
      </c>
      <c r="F50" t="s">
        <v>17</v>
      </c>
      <c r="G50" s="3">
        <v>45355</v>
      </c>
      <c r="H50">
        <v>18</v>
      </c>
      <c r="I50">
        <v>5</v>
      </c>
      <c r="J50" s="2">
        <v>1230</v>
      </c>
      <c r="K50" t="s">
        <v>68</v>
      </c>
    </row>
    <row r="51" spans="1:11" x14ac:dyDescent="0.3">
      <c r="A51" t="s">
        <v>109</v>
      </c>
      <c r="B51" t="s">
        <v>37</v>
      </c>
      <c r="C51" t="str">
        <f>_xlfn.XLOOKUP(B51, Restaurants!$A$2:$A$17, Restaurants!$B$2:$B$17, "Unknown")</f>
        <v>Paradise Biryani</v>
      </c>
      <c r="D51" t="str">
        <f>_xlfn.XLOOKUP(B51, Restaurants!$A$2:$A$17, Restaurants!$D$2:$D$17, "Unknown")</f>
        <v>Dine-in</v>
      </c>
      <c r="E51" t="s">
        <v>62</v>
      </c>
      <c r="F51" t="s">
        <v>11</v>
      </c>
      <c r="G51" s="3">
        <v>45299</v>
      </c>
      <c r="H51">
        <v>34</v>
      </c>
      <c r="I51">
        <v>3</v>
      </c>
      <c r="J51" s="2">
        <v>950</v>
      </c>
      <c r="K51" t="s">
        <v>54</v>
      </c>
    </row>
    <row r="52" spans="1:11" x14ac:dyDescent="0.3">
      <c r="A52" t="s">
        <v>110</v>
      </c>
      <c r="B52" t="s">
        <v>5</v>
      </c>
      <c r="C52" t="str">
        <f>_xlfn.XLOOKUP(B52, Restaurants!$A$2:$A$17, Restaurants!$B$2:$B$17, "Unknown")</f>
        <v>Punjab Grill</v>
      </c>
      <c r="D52" t="str">
        <f>_xlfn.XLOOKUP(B52, Restaurants!$A$2:$A$17, Restaurants!$D$2:$D$17, "Unknown")</f>
        <v>Dine-in</v>
      </c>
      <c r="E52" t="s">
        <v>62</v>
      </c>
      <c r="F52" t="s">
        <v>7</v>
      </c>
      <c r="G52" s="3">
        <v>45355</v>
      </c>
      <c r="H52">
        <v>29</v>
      </c>
      <c r="I52">
        <v>4</v>
      </c>
      <c r="J52" s="2">
        <v>790</v>
      </c>
      <c r="K52" t="s">
        <v>54</v>
      </c>
    </row>
    <row r="53" spans="1:11" x14ac:dyDescent="0.3">
      <c r="A53" t="s">
        <v>111</v>
      </c>
      <c r="B53" t="s">
        <v>43</v>
      </c>
      <c r="C53" t="str">
        <f>_xlfn.XLOOKUP(B53, Restaurants!$A$2:$A$17, Restaurants!$B$2:$B$17, "Unknown")</f>
        <v>Osteria Delizia</v>
      </c>
      <c r="D53" t="str">
        <f>_xlfn.XLOOKUP(B53, Restaurants!$A$2:$A$17, Restaurants!$D$2:$D$17, "Unknown")</f>
        <v>Dine-in</v>
      </c>
      <c r="E53" t="s">
        <v>57</v>
      </c>
      <c r="F53" t="s">
        <v>11</v>
      </c>
      <c r="G53" s="3">
        <v>45344</v>
      </c>
      <c r="H53">
        <v>31</v>
      </c>
      <c r="I53">
        <v>3</v>
      </c>
      <c r="J53" s="2">
        <v>730</v>
      </c>
      <c r="K53" t="s">
        <v>54</v>
      </c>
    </row>
    <row r="54" spans="1:11" x14ac:dyDescent="0.3">
      <c r="A54" t="s">
        <v>112</v>
      </c>
      <c r="B54" t="s">
        <v>39</v>
      </c>
      <c r="C54" t="str">
        <f>_xlfn.XLOOKUP(B54, Restaurants!$A$2:$A$17, Restaurants!$B$2:$B$17, "Unknown")</f>
        <v>Curry Bowl</v>
      </c>
      <c r="D54" t="str">
        <f>_xlfn.XLOOKUP(B54, Restaurants!$A$2:$A$17, Restaurants!$D$2:$D$17, "Unknown")</f>
        <v>Cloud Kitchen</v>
      </c>
      <c r="E54" t="s">
        <v>70</v>
      </c>
      <c r="F54" t="s">
        <v>17</v>
      </c>
      <c r="G54" s="3">
        <v>45367</v>
      </c>
      <c r="H54">
        <v>26</v>
      </c>
      <c r="I54">
        <v>4</v>
      </c>
      <c r="J54" s="2">
        <v>530</v>
      </c>
      <c r="K54" t="s">
        <v>54</v>
      </c>
    </row>
    <row r="55" spans="1:11" x14ac:dyDescent="0.3">
      <c r="A55" t="s">
        <v>113</v>
      </c>
      <c r="B55" t="s">
        <v>35</v>
      </c>
      <c r="C55" t="str">
        <f>_xlfn.XLOOKUP(B55, Restaurants!$A$2:$A$17, Restaurants!$B$2:$B$17, "Unknown")</f>
        <v>Madras Tiffin</v>
      </c>
      <c r="D55" t="str">
        <f>_xlfn.XLOOKUP(B55, Restaurants!$A$2:$A$17, Restaurants!$D$2:$D$17, "Unknown")</f>
        <v>QSR</v>
      </c>
      <c r="E55" t="s">
        <v>70</v>
      </c>
      <c r="F55" t="s">
        <v>23</v>
      </c>
      <c r="G55" s="3">
        <v>45339</v>
      </c>
      <c r="H55">
        <v>41</v>
      </c>
      <c r="I55">
        <v>3</v>
      </c>
      <c r="J55" s="2">
        <v>1110</v>
      </c>
      <c r="K55" t="s">
        <v>84</v>
      </c>
    </row>
    <row r="56" spans="1:11" x14ac:dyDescent="0.3">
      <c r="A56" t="s">
        <v>114</v>
      </c>
      <c r="B56" t="s">
        <v>24</v>
      </c>
      <c r="C56" t="str">
        <f>_xlfn.XLOOKUP(B56, Restaurants!$A$2:$A$17, Restaurants!$B$2:$B$17, "Unknown")</f>
        <v>Noodle Bar</v>
      </c>
      <c r="D56" t="str">
        <f>_xlfn.XLOOKUP(B56, Restaurants!$A$2:$A$17, Restaurants!$D$2:$D$17, "Unknown")</f>
        <v>QSR</v>
      </c>
      <c r="E56" t="s">
        <v>53</v>
      </c>
      <c r="F56" t="s">
        <v>23</v>
      </c>
      <c r="G56" s="3">
        <v>45299</v>
      </c>
      <c r="H56">
        <v>36</v>
      </c>
      <c r="I56">
        <v>4</v>
      </c>
      <c r="J56" s="2">
        <v>1330</v>
      </c>
      <c r="K56" t="s">
        <v>54</v>
      </c>
    </row>
    <row r="57" spans="1:11" x14ac:dyDescent="0.3">
      <c r="A57" t="s">
        <v>115</v>
      </c>
      <c r="B57" t="s">
        <v>43</v>
      </c>
      <c r="C57" t="str">
        <f>_xlfn.XLOOKUP(B57, Restaurants!$A$2:$A$17, Restaurants!$B$2:$B$17, "Unknown")</f>
        <v>Osteria Delizia</v>
      </c>
      <c r="D57" t="str">
        <f>_xlfn.XLOOKUP(B57, Restaurants!$A$2:$A$17, Restaurants!$D$2:$D$17, "Unknown")</f>
        <v>Dine-in</v>
      </c>
      <c r="E57" t="s">
        <v>57</v>
      </c>
      <c r="F57" t="s">
        <v>11</v>
      </c>
      <c r="G57" s="3">
        <v>45379</v>
      </c>
      <c r="H57">
        <v>24</v>
      </c>
      <c r="I57">
        <v>5</v>
      </c>
      <c r="J57" s="2">
        <v>830</v>
      </c>
      <c r="K57" t="s">
        <v>54</v>
      </c>
    </row>
    <row r="58" spans="1:11" x14ac:dyDescent="0.3">
      <c r="A58" t="s">
        <v>116</v>
      </c>
      <c r="B58" t="s">
        <v>27</v>
      </c>
      <c r="C58" t="str">
        <f>_xlfn.XLOOKUP(B58, Restaurants!$A$2:$A$17, Restaurants!$B$2:$B$17, "Unknown")</f>
        <v>Behrouz Biryani</v>
      </c>
      <c r="D58" t="str">
        <f>_xlfn.XLOOKUP(B58, Restaurants!$A$2:$A$17, Restaurants!$D$2:$D$17, "Unknown")</f>
        <v>Cloud Kitchen</v>
      </c>
      <c r="E58" t="s">
        <v>62</v>
      </c>
      <c r="F58" t="s">
        <v>7</v>
      </c>
      <c r="G58" s="3">
        <v>45316</v>
      </c>
      <c r="H58">
        <v>19</v>
      </c>
      <c r="I58">
        <v>4</v>
      </c>
      <c r="J58" s="2">
        <v>1290</v>
      </c>
      <c r="K58" t="s">
        <v>54</v>
      </c>
    </row>
    <row r="59" spans="1:11" x14ac:dyDescent="0.3">
      <c r="A59" t="s">
        <v>117</v>
      </c>
      <c r="B59" t="s">
        <v>41</v>
      </c>
      <c r="C59" t="str">
        <f>_xlfn.XLOOKUP(B59, Restaurants!$A$2:$A$17, Restaurants!$B$2:$B$17, "Unknown")</f>
        <v>Pind Balluchi</v>
      </c>
      <c r="D59" t="str">
        <f>_xlfn.XLOOKUP(B59, Restaurants!$A$2:$A$17, Restaurants!$D$2:$D$17, "Unknown")</f>
        <v>Dine-in</v>
      </c>
      <c r="E59" t="s">
        <v>70</v>
      </c>
      <c r="F59" t="s">
        <v>14</v>
      </c>
      <c r="G59" s="3">
        <v>45353</v>
      </c>
      <c r="H59">
        <v>34</v>
      </c>
      <c r="I59">
        <v>3</v>
      </c>
      <c r="J59" s="2">
        <v>1390</v>
      </c>
      <c r="K59" t="s">
        <v>54</v>
      </c>
    </row>
    <row r="60" spans="1:11" x14ac:dyDescent="0.3">
      <c r="A60" t="s">
        <v>118</v>
      </c>
      <c r="B60" t="s">
        <v>9</v>
      </c>
      <c r="C60" t="str">
        <f>_xlfn.XLOOKUP(B60, Restaurants!$A$2:$A$17, Restaurants!$B$2:$B$17, "Unknown")</f>
        <v>Bella Italia</v>
      </c>
      <c r="D60" t="str">
        <f>_xlfn.XLOOKUP(B60, Restaurants!$A$2:$A$17, Restaurants!$D$2:$D$17, "Unknown")</f>
        <v>Dine-in</v>
      </c>
      <c r="E60" t="s">
        <v>57</v>
      </c>
      <c r="F60" t="s">
        <v>11</v>
      </c>
      <c r="G60" s="3">
        <v>45313</v>
      </c>
      <c r="H60">
        <v>31</v>
      </c>
      <c r="I60">
        <v>4</v>
      </c>
      <c r="J60" s="2">
        <v>330</v>
      </c>
      <c r="K60" t="s">
        <v>54</v>
      </c>
    </row>
    <row r="61" spans="1:11" x14ac:dyDescent="0.3">
      <c r="A61" t="s">
        <v>119</v>
      </c>
      <c r="B61" t="s">
        <v>24</v>
      </c>
      <c r="C61" t="str">
        <f>_xlfn.XLOOKUP(B61, Restaurants!$A$2:$A$17, Restaurants!$B$2:$B$17, "Unknown")</f>
        <v>Noodle Bar</v>
      </c>
      <c r="D61" t="str">
        <f>_xlfn.XLOOKUP(B61, Restaurants!$A$2:$A$17, Restaurants!$D$2:$D$17, "Unknown")</f>
        <v>QSR</v>
      </c>
      <c r="E61" t="s">
        <v>53</v>
      </c>
      <c r="F61" t="s">
        <v>23</v>
      </c>
      <c r="G61" s="3">
        <v>45296</v>
      </c>
      <c r="H61">
        <v>41</v>
      </c>
      <c r="I61">
        <v>3</v>
      </c>
      <c r="J61" s="2">
        <v>1250</v>
      </c>
      <c r="K61" t="s">
        <v>54</v>
      </c>
    </row>
    <row r="62" spans="1:11" x14ac:dyDescent="0.3">
      <c r="A62" t="s">
        <v>120</v>
      </c>
      <c r="B62" t="s">
        <v>29</v>
      </c>
      <c r="C62" t="str">
        <f>_xlfn.XLOOKUP(B62, Restaurants!$A$2:$A$17, Restaurants!$B$2:$B$17, "Unknown")</f>
        <v>Moti Mahal Delux</v>
      </c>
      <c r="D62" t="str">
        <f>_xlfn.XLOOKUP(B62, Restaurants!$A$2:$A$17, Restaurants!$D$2:$D$17, "Unknown")</f>
        <v>Dine-in</v>
      </c>
      <c r="E62" t="s">
        <v>70</v>
      </c>
      <c r="F62" t="s">
        <v>14</v>
      </c>
      <c r="G62" s="3">
        <v>45302</v>
      </c>
      <c r="H62">
        <v>39</v>
      </c>
      <c r="I62">
        <v>4</v>
      </c>
      <c r="J62" s="2">
        <v>750</v>
      </c>
      <c r="K62" t="s">
        <v>54</v>
      </c>
    </row>
    <row r="63" spans="1:11" x14ac:dyDescent="0.3">
      <c r="A63" t="s">
        <v>121</v>
      </c>
      <c r="B63" t="s">
        <v>19</v>
      </c>
      <c r="C63" t="str">
        <f>_xlfn.XLOOKUP(B63, Restaurants!$A$2:$A$17, Restaurants!$B$2:$B$17, "Unknown")</f>
        <v>Kake Da Dhaba</v>
      </c>
      <c r="D63" t="str">
        <f>_xlfn.XLOOKUP(B63, Restaurants!$A$2:$A$17, Restaurants!$D$2:$D$17, "Unknown")</f>
        <v>Dine-in</v>
      </c>
      <c r="E63" t="s">
        <v>53</v>
      </c>
      <c r="F63" t="s">
        <v>7</v>
      </c>
      <c r="G63" s="3">
        <v>45323</v>
      </c>
      <c r="H63">
        <v>33</v>
      </c>
      <c r="I63">
        <v>4</v>
      </c>
      <c r="J63" s="2">
        <v>970</v>
      </c>
      <c r="K63" t="s">
        <v>54</v>
      </c>
    </row>
    <row r="64" spans="1:11" x14ac:dyDescent="0.3">
      <c r="A64" t="s">
        <v>122</v>
      </c>
      <c r="B64" t="s">
        <v>31</v>
      </c>
      <c r="C64" t="str">
        <f>_xlfn.XLOOKUP(B64, Restaurants!$A$2:$A$17, Restaurants!$B$2:$B$17, "Unknown")</f>
        <v>Little Italy</v>
      </c>
      <c r="D64" t="str">
        <f>_xlfn.XLOOKUP(B64, Restaurants!$A$2:$A$17, Restaurants!$D$2:$D$17, "Unknown")</f>
        <v>Dine-in</v>
      </c>
      <c r="E64" t="s">
        <v>57</v>
      </c>
      <c r="F64" t="s">
        <v>17</v>
      </c>
      <c r="G64" s="3">
        <v>45349</v>
      </c>
      <c r="H64">
        <v>28</v>
      </c>
      <c r="I64">
        <v>5</v>
      </c>
      <c r="J64" s="2">
        <v>1390</v>
      </c>
      <c r="K64" t="s">
        <v>54</v>
      </c>
    </row>
    <row r="65" spans="1:11" x14ac:dyDescent="0.3">
      <c r="A65" t="s">
        <v>123</v>
      </c>
      <c r="B65" t="s">
        <v>27</v>
      </c>
      <c r="C65" t="str">
        <f>_xlfn.XLOOKUP(B65, Restaurants!$A$2:$A$17, Restaurants!$B$2:$B$17, "Unknown")</f>
        <v>Behrouz Biryani</v>
      </c>
      <c r="D65" t="str">
        <f>_xlfn.XLOOKUP(B65, Restaurants!$A$2:$A$17, Restaurants!$D$2:$D$17, "Unknown")</f>
        <v>Cloud Kitchen</v>
      </c>
      <c r="E65" t="s">
        <v>62</v>
      </c>
      <c r="F65" t="s">
        <v>7</v>
      </c>
      <c r="G65" s="3">
        <v>45351</v>
      </c>
      <c r="H65">
        <v>22</v>
      </c>
      <c r="I65">
        <v>4</v>
      </c>
      <c r="J65" s="2">
        <v>710</v>
      </c>
      <c r="K65" t="s">
        <v>84</v>
      </c>
    </row>
    <row r="66" spans="1:11" x14ac:dyDescent="0.3">
      <c r="A66" t="s">
        <v>124</v>
      </c>
      <c r="B66" t="s">
        <v>9</v>
      </c>
      <c r="C66" t="str">
        <f>_xlfn.XLOOKUP(B66, Restaurants!$A$2:$A$17, Restaurants!$B$2:$B$17, "Unknown")</f>
        <v>Bella Italia</v>
      </c>
      <c r="D66" t="str">
        <f>_xlfn.XLOOKUP(B66, Restaurants!$A$2:$A$17, Restaurants!$D$2:$D$17, "Unknown")</f>
        <v>Dine-in</v>
      </c>
      <c r="E66" t="s">
        <v>57</v>
      </c>
      <c r="F66" t="s">
        <v>11</v>
      </c>
      <c r="G66" s="3">
        <v>45294</v>
      </c>
      <c r="H66">
        <v>35</v>
      </c>
      <c r="I66">
        <v>4</v>
      </c>
      <c r="J66" s="2">
        <v>1230</v>
      </c>
      <c r="K66" t="s">
        <v>54</v>
      </c>
    </row>
    <row r="67" spans="1:11" x14ac:dyDescent="0.3">
      <c r="A67" t="s">
        <v>125</v>
      </c>
      <c r="B67" t="s">
        <v>5</v>
      </c>
      <c r="C67" t="str">
        <f>_xlfn.XLOOKUP(B67, Restaurants!$A$2:$A$17, Restaurants!$B$2:$B$17, "Unknown")</f>
        <v>Punjab Grill</v>
      </c>
      <c r="D67" t="str">
        <f>_xlfn.XLOOKUP(B67, Restaurants!$A$2:$A$17, Restaurants!$D$2:$D$17, "Unknown")</f>
        <v>Dine-in</v>
      </c>
      <c r="E67" t="s">
        <v>70</v>
      </c>
      <c r="F67" t="s">
        <v>7</v>
      </c>
      <c r="G67" s="3">
        <v>45365</v>
      </c>
      <c r="H67">
        <v>28</v>
      </c>
      <c r="I67">
        <v>5</v>
      </c>
      <c r="J67" s="2">
        <v>470</v>
      </c>
      <c r="K67" t="s">
        <v>54</v>
      </c>
    </row>
    <row r="68" spans="1:11" x14ac:dyDescent="0.3">
      <c r="A68" t="s">
        <v>126</v>
      </c>
      <c r="B68" t="s">
        <v>5</v>
      </c>
      <c r="C68" t="str">
        <f>_xlfn.XLOOKUP(B68, Restaurants!$A$2:$A$17, Restaurants!$B$2:$B$17, "Unknown")</f>
        <v>Punjab Grill</v>
      </c>
      <c r="D68" t="str">
        <f>_xlfn.XLOOKUP(B68, Restaurants!$A$2:$A$17, Restaurants!$D$2:$D$17, "Unknown")</f>
        <v>Dine-in</v>
      </c>
      <c r="E68" t="s">
        <v>62</v>
      </c>
      <c r="F68" t="s">
        <v>7</v>
      </c>
      <c r="G68" s="3">
        <v>45373</v>
      </c>
      <c r="H68">
        <v>29</v>
      </c>
      <c r="I68">
        <v>3</v>
      </c>
      <c r="J68" s="2">
        <v>390</v>
      </c>
      <c r="K68" t="s">
        <v>54</v>
      </c>
    </row>
    <row r="69" spans="1:11" x14ac:dyDescent="0.3">
      <c r="A69" t="s">
        <v>127</v>
      </c>
      <c r="B69" t="s">
        <v>73</v>
      </c>
      <c r="C69" t="str">
        <f>_xlfn.XLOOKUP(B69, Restaurants!$A$2:$A$17, Restaurants!$B$2:$B$17, "Unknown")</f>
        <v>Unknown</v>
      </c>
      <c r="D69" t="str">
        <f>_xlfn.XLOOKUP(B69, Restaurants!$A$2:$A$17, Restaurants!$D$2:$D$17, "Unknown")</f>
        <v>Unknown</v>
      </c>
      <c r="E69" t="s">
        <v>57</v>
      </c>
      <c r="F69" t="s">
        <v>11</v>
      </c>
      <c r="G69" s="3">
        <v>45322</v>
      </c>
      <c r="H69">
        <v>24</v>
      </c>
      <c r="I69">
        <v>5</v>
      </c>
      <c r="J69" s="2">
        <v>370</v>
      </c>
      <c r="K69" t="s">
        <v>54</v>
      </c>
    </row>
    <row r="70" spans="1:11" x14ac:dyDescent="0.3">
      <c r="A70" t="s">
        <v>128</v>
      </c>
      <c r="B70" t="s">
        <v>19</v>
      </c>
      <c r="C70" t="str">
        <f>_xlfn.XLOOKUP(B70, Restaurants!$A$2:$A$17, Restaurants!$B$2:$B$17, "Unknown")</f>
        <v>Kake Da Dhaba</v>
      </c>
      <c r="D70" t="str">
        <f>_xlfn.XLOOKUP(B70, Restaurants!$A$2:$A$17, Restaurants!$D$2:$D$17, "Unknown")</f>
        <v>Dine-in</v>
      </c>
      <c r="E70" t="s">
        <v>57</v>
      </c>
      <c r="F70" t="s">
        <v>7</v>
      </c>
      <c r="G70" s="3">
        <v>45348</v>
      </c>
      <c r="H70">
        <v>30</v>
      </c>
      <c r="I70">
        <v>5</v>
      </c>
      <c r="J70" s="2">
        <v>1370</v>
      </c>
      <c r="K70" t="s">
        <v>54</v>
      </c>
    </row>
    <row r="71" spans="1:11" x14ac:dyDescent="0.3">
      <c r="A71" t="s">
        <v>129</v>
      </c>
      <c r="B71" t="s">
        <v>19</v>
      </c>
      <c r="C71" t="str">
        <f>_xlfn.XLOOKUP(B71, Restaurants!$A$2:$A$17, Restaurants!$B$2:$B$17, "Unknown")</f>
        <v>Kake Da Dhaba</v>
      </c>
      <c r="D71" t="str">
        <f>_xlfn.XLOOKUP(B71, Restaurants!$A$2:$A$17, Restaurants!$D$2:$D$17, "Unknown")</f>
        <v>Dine-in</v>
      </c>
      <c r="E71" t="s">
        <v>70</v>
      </c>
      <c r="F71" t="s">
        <v>7</v>
      </c>
      <c r="G71" s="3">
        <v>45343</v>
      </c>
      <c r="H71">
        <v>32</v>
      </c>
      <c r="I71">
        <v>4</v>
      </c>
      <c r="J71" s="2">
        <v>930</v>
      </c>
      <c r="K71" t="s">
        <v>54</v>
      </c>
    </row>
    <row r="72" spans="1:11" x14ac:dyDescent="0.3">
      <c r="A72" t="s">
        <v>130</v>
      </c>
      <c r="B72" t="s">
        <v>9</v>
      </c>
      <c r="C72" t="str">
        <f>_xlfn.XLOOKUP(B72, Restaurants!$A$2:$A$17, Restaurants!$B$2:$B$17, "Unknown")</f>
        <v>Bella Italia</v>
      </c>
      <c r="D72" t="str">
        <f>_xlfn.XLOOKUP(B72, Restaurants!$A$2:$A$17, Restaurants!$D$2:$D$17, "Unknown")</f>
        <v>Dine-in</v>
      </c>
      <c r="E72" t="s">
        <v>57</v>
      </c>
      <c r="F72" t="s">
        <v>11</v>
      </c>
      <c r="G72" s="3">
        <v>45314</v>
      </c>
      <c r="H72">
        <v>39</v>
      </c>
      <c r="I72">
        <v>4</v>
      </c>
      <c r="J72" s="2">
        <v>470</v>
      </c>
      <c r="K72" t="s">
        <v>54</v>
      </c>
    </row>
    <row r="73" spans="1:11" x14ac:dyDescent="0.3">
      <c r="A73" t="s">
        <v>131</v>
      </c>
      <c r="B73" t="s">
        <v>37</v>
      </c>
      <c r="C73" t="str">
        <f>_xlfn.XLOOKUP(B73, Restaurants!$A$2:$A$17, Restaurants!$B$2:$B$17, "Unknown")</f>
        <v>Paradise Biryani</v>
      </c>
      <c r="D73" t="str">
        <f>_xlfn.XLOOKUP(B73, Restaurants!$A$2:$A$17, Restaurants!$D$2:$D$17, "Unknown")</f>
        <v>Dine-in</v>
      </c>
      <c r="E73" t="s">
        <v>62</v>
      </c>
      <c r="F73" t="s">
        <v>11</v>
      </c>
      <c r="G73" s="3">
        <v>45358</v>
      </c>
      <c r="H73">
        <v>32</v>
      </c>
      <c r="I73">
        <v>4</v>
      </c>
      <c r="J73" s="2">
        <v>830</v>
      </c>
      <c r="K73" t="s">
        <v>68</v>
      </c>
    </row>
    <row r="74" spans="1:11" x14ac:dyDescent="0.3">
      <c r="A74" t="s">
        <v>132</v>
      </c>
      <c r="B74" t="s">
        <v>39</v>
      </c>
      <c r="C74" t="str">
        <f>_xlfn.XLOOKUP(B74, Restaurants!$A$2:$A$17, Restaurants!$B$2:$B$17, "Unknown")</f>
        <v>Curry Bowl</v>
      </c>
      <c r="D74" t="str">
        <f>_xlfn.XLOOKUP(B74, Restaurants!$A$2:$A$17, Restaurants!$D$2:$D$17, "Unknown")</f>
        <v>Cloud Kitchen</v>
      </c>
      <c r="E74" t="s">
        <v>62</v>
      </c>
      <c r="F74" t="s">
        <v>17</v>
      </c>
      <c r="G74" s="3">
        <v>45366</v>
      </c>
      <c r="H74">
        <v>36</v>
      </c>
      <c r="I74">
        <v>4</v>
      </c>
      <c r="J74" s="2">
        <v>470</v>
      </c>
      <c r="K74" t="s">
        <v>84</v>
      </c>
    </row>
    <row r="75" spans="1:11" x14ac:dyDescent="0.3">
      <c r="A75" t="s">
        <v>133</v>
      </c>
      <c r="B75" t="s">
        <v>12</v>
      </c>
      <c r="C75" t="str">
        <f>_xlfn.XLOOKUP(B75, Restaurants!$A$2:$A$17, Restaurants!$B$2:$B$17, "Unknown")</f>
        <v>Mainland China</v>
      </c>
      <c r="D75" t="str">
        <f>_xlfn.XLOOKUP(B75, Restaurants!$A$2:$A$17, Restaurants!$D$2:$D$17, "Unknown")</f>
        <v>Dine-in</v>
      </c>
      <c r="E75" t="s">
        <v>53</v>
      </c>
      <c r="F75" t="s">
        <v>14</v>
      </c>
      <c r="G75" s="3">
        <v>45300</v>
      </c>
      <c r="H75">
        <v>33</v>
      </c>
      <c r="I75">
        <v>4</v>
      </c>
      <c r="J75" s="2">
        <v>510</v>
      </c>
      <c r="K75" t="s">
        <v>54</v>
      </c>
    </row>
    <row r="76" spans="1:11" x14ac:dyDescent="0.3">
      <c r="A76" t="s">
        <v>134</v>
      </c>
      <c r="B76" t="s">
        <v>15</v>
      </c>
      <c r="C76" t="str">
        <f>_xlfn.XLOOKUP(B76, Restaurants!$A$2:$A$17, Restaurants!$B$2:$B$17, "Unknown")</f>
        <v>Biryani By Kilo</v>
      </c>
      <c r="D76" t="str">
        <f>_xlfn.XLOOKUP(B76, Restaurants!$A$2:$A$17, Restaurants!$D$2:$D$17, "Unknown")</f>
        <v>Cloud Kitchen</v>
      </c>
      <c r="E76" t="s">
        <v>62</v>
      </c>
      <c r="F76" t="s">
        <v>17</v>
      </c>
      <c r="G76" s="3">
        <v>45343</v>
      </c>
      <c r="H76">
        <v>22</v>
      </c>
      <c r="I76">
        <v>5</v>
      </c>
      <c r="J76" s="2">
        <v>730</v>
      </c>
      <c r="K76" t="s">
        <v>54</v>
      </c>
    </row>
    <row r="77" spans="1:11" x14ac:dyDescent="0.3">
      <c r="A77" t="s">
        <v>135</v>
      </c>
      <c r="B77" t="s">
        <v>19</v>
      </c>
      <c r="C77" t="str">
        <f>_xlfn.XLOOKUP(B77, Restaurants!$A$2:$A$17, Restaurants!$B$2:$B$17, "Unknown")</f>
        <v>Kake Da Dhaba</v>
      </c>
      <c r="D77" t="str">
        <f>_xlfn.XLOOKUP(B77, Restaurants!$A$2:$A$17, Restaurants!$D$2:$D$17, "Unknown")</f>
        <v>Dine-in</v>
      </c>
      <c r="E77" t="s">
        <v>62</v>
      </c>
      <c r="F77" t="s">
        <v>7</v>
      </c>
      <c r="G77" s="3">
        <v>45377</v>
      </c>
      <c r="H77">
        <v>45</v>
      </c>
      <c r="I77">
        <v>3</v>
      </c>
      <c r="J77" s="2">
        <v>1010</v>
      </c>
      <c r="K77" t="s">
        <v>54</v>
      </c>
    </row>
    <row r="78" spans="1:11" x14ac:dyDescent="0.3">
      <c r="A78" t="s">
        <v>136</v>
      </c>
      <c r="B78" t="s">
        <v>31</v>
      </c>
      <c r="C78" t="str">
        <f>_xlfn.XLOOKUP(B78, Restaurants!$A$2:$A$17, Restaurants!$B$2:$B$17, "Unknown")</f>
        <v>Little Italy</v>
      </c>
      <c r="D78" t="str">
        <f>_xlfn.XLOOKUP(B78, Restaurants!$A$2:$A$17, Restaurants!$D$2:$D$17, "Unknown")</f>
        <v>Dine-in</v>
      </c>
      <c r="E78" t="s">
        <v>57</v>
      </c>
      <c r="F78" t="s">
        <v>17</v>
      </c>
      <c r="G78" s="3">
        <v>45297</v>
      </c>
      <c r="H78">
        <v>18</v>
      </c>
      <c r="I78">
        <v>5</v>
      </c>
      <c r="J78" s="2">
        <v>1090</v>
      </c>
      <c r="K78" t="s">
        <v>54</v>
      </c>
    </row>
    <row r="79" spans="1:11" x14ac:dyDescent="0.3">
      <c r="A79" t="s">
        <v>137</v>
      </c>
      <c r="B79" t="s">
        <v>41</v>
      </c>
      <c r="C79" t="str">
        <f>_xlfn.XLOOKUP(B79, Restaurants!$A$2:$A$17, Restaurants!$B$2:$B$17, "Unknown")</f>
        <v>Pind Balluchi</v>
      </c>
      <c r="D79" t="str">
        <f>_xlfn.XLOOKUP(B79, Restaurants!$A$2:$A$17, Restaurants!$D$2:$D$17, "Unknown")</f>
        <v>Dine-in</v>
      </c>
      <c r="E79" t="s">
        <v>62</v>
      </c>
      <c r="F79" t="s">
        <v>14</v>
      </c>
      <c r="G79" s="3">
        <v>45353</v>
      </c>
      <c r="H79">
        <v>51</v>
      </c>
      <c r="I79">
        <v>4</v>
      </c>
      <c r="J79" s="2">
        <v>570</v>
      </c>
      <c r="K79" t="s">
        <v>68</v>
      </c>
    </row>
    <row r="80" spans="1:11" x14ac:dyDescent="0.3">
      <c r="A80" t="s">
        <v>138</v>
      </c>
      <c r="B80" t="s">
        <v>24</v>
      </c>
      <c r="C80" t="str">
        <f>_xlfn.XLOOKUP(B80, Restaurants!$A$2:$A$17, Restaurants!$B$2:$B$17, "Unknown")</f>
        <v>Noodle Bar</v>
      </c>
      <c r="D80" t="str">
        <f>_xlfn.XLOOKUP(B80, Restaurants!$A$2:$A$17, Restaurants!$D$2:$D$17, "Unknown")</f>
        <v>QSR</v>
      </c>
      <c r="E80" t="s">
        <v>53</v>
      </c>
      <c r="F80" t="s">
        <v>23</v>
      </c>
      <c r="G80" s="3">
        <v>45330</v>
      </c>
      <c r="H80">
        <v>31</v>
      </c>
      <c r="I80">
        <v>5</v>
      </c>
      <c r="J80" s="2">
        <v>270</v>
      </c>
      <c r="K80" t="s">
        <v>54</v>
      </c>
    </row>
    <row r="81" spans="1:11" x14ac:dyDescent="0.3">
      <c r="A81" t="s">
        <v>139</v>
      </c>
      <c r="B81" t="s">
        <v>19</v>
      </c>
      <c r="C81" t="str">
        <f>_xlfn.XLOOKUP(B81, Restaurants!$A$2:$A$17, Restaurants!$B$2:$B$17, "Unknown")</f>
        <v>Kake Da Dhaba</v>
      </c>
      <c r="D81" t="str">
        <f>_xlfn.XLOOKUP(B81, Restaurants!$A$2:$A$17, Restaurants!$D$2:$D$17, "Unknown")</f>
        <v>Dine-in</v>
      </c>
      <c r="E81" t="s">
        <v>57</v>
      </c>
      <c r="F81" t="s">
        <v>7</v>
      </c>
      <c r="G81" s="3">
        <v>45380</v>
      </c>
      <c r="H81">
        <v>18</v>
      </c>
      <c r="I81">
        <v>5</v>
      </c>
      <c r="J81" s="2">
        <v>250</v>
      </c>
      <c r="K81" t="s">
        <v>68</v>
      </c>
    </row>
    <row r="82" spans="1:11" x14ac:dyDescent="0.3">
      <c r="A82" t="s">
        <v>140</v>
      </c>
      <c r="B82" t="s">
        <v>5</v>
      </c>
      <c r="C82" t="str">
        <f>_xlfn.XLOOKUP(B82, Restaurants!$A$2:$A$17, Restaurants!$B$2:$B$17, "Unknown")</f>
        <v>Punjab Grill</v>
      </c>
      <c r="D82" t="str">
        <f>_xlfn.XLOOKUP(B82, Restaurants!$A$2:$A$17, Restaurants!$D$2:$D$17, "Unknown")</f>
        <v>Dine-in</v>
      </c>
      <c r="E82" t="s">
        <v>53</v>
      </c>
      <c r="F82" t="s">
        <v>7</v>
      </c>
      <c r="G82" s="3">
        <v>45373</v>
      </c>
      <c r="H82">
        <v>18</v>
      </c>
      <c r="I82">
        <v>5</v>
      </c>
      <c r="J82" s="2">
        <v>610</v>
      </c>
      <c r="K82" t="s">
        <v>54</v>
      </c>
    </row>
    <row r="83" spans="1:11" x14ac:dyDescent="0.3">
      <c r="A83" t="s">
        <v>141</v>
      </c>
      <c r="B83" t="s">
        <v>21</v>
      </c>
      <c r="C83" t="str">
        <f>_xlfn.XLOOKUP(B83, Restaurants!$A$2:$A$17, Restaurants!$B$2:$B$17, "Unknown")</f>
        <v>Toscano Trattoria</v>
      </c>
      <c r="D83" t="str">
        <f>_xlfn.XLOOKUP(B83, Restaurants!$A$2:$A$17, Restaurants!$D$2:$D$17, "Unknown")</f>
        <v>Dine-in</v>
      </c>
      <c r="E83" t="s">
        <v>57</v>
      </c>
      <c r="F83" t="s">
        <v>23</v>
      </c>
      <c r="G83" s="3">
        <v>45355</v>
      </c>
      <c r="H83">
        <v>45</v>
      </c>
      <c r="I83">
        <v>2</v>
      </c>
      <c r="J83" s="2">
        <v>610</v>
      </c>
      <c r="K83" t="s">
        <v>54</v>
      </c>
    </row>
    <row r="84" spans="1:11" x14ac:dyDescent="0.3">
      <c r="A84" t="s">
        <v>142</v>
      </c>
      <c r="B84" t="s">
        <v>12</v>
      </c>
      <c r="C84" t="str">
        <f>_xlfn.XLOOKUP(B84, Restaurants!$A$2:$A$17, Restaurants!$B$2:$B$17, "Unknown")</f>
        <v>Mainland China</v>
      </c>
      <c r="D84" t="str">
        <f>_xlfn.XLOOKUP(B84, Restaurants!$A$2:$A$17, Restaurants!$D$2:$D$17, "Unknown")</f>
        <v>Dine-in</v>
      </c>
      <c r="E84" t="s">
        <v>53</v>
      </c>
      <c r="F84" t="s">
        <v>14</v>
      </c>
      <c r="G84" s="3">
        <v>45314</v>
      </c>
      <c r="H84">
        <v>48</v>
      </c>
      <c r="I84">
        <v>3</v>
      </c>
      <c r="J84" s="2">
        <v>390</v>
      </c>
      <c r="K84" t="s">
        <v>54</v>
      </c>
    </row>
    <row r="85" spans="1:11" x14ac:dyDescent="0.3">
      <c r="A85" t="s">
        <v>143</v>
      </c>
      <c r="B85" t="s">
        <v>29</v>
      </c>
      <c r="C85" t="str">
        <f>_xlfn.XLOOKUP(B85, Restaurants!$A$2:$A$17, Restaurants!$B$2:$B$17, "Unknown")</f>
        <v>Moti Mahal Delux</v>
      </c>
      <c r="D85" t="str">
        <f>_xlfn.XLOOKUP(B85, Restaurants!$A$2:$A$17, Restaurants!$D$2:$D$17, "Unknown")</f>
        <v>Dine-in</v>
      </c>
      <c r="E85" t="s">
        <v>53</v>
      </c>
      <c r="F85" t="s">
        <v>14</v>
      </c>
      <c r="G85" s="3">
        <v>45359</v>
      </c>
      <c r="H85">
        <v>18</v>
      </c>
      <c r="I85">
        <v>5</v>
      </c>
      <c r="J85" s="2">
        <v>1370</v>
      </c>
      <c r="K85" t="s">
        <v>54</v>
      </c>
    </row>
    <row r="86" spans="1:11" x14ac:dyDescent="0.3">
      <c r="A86" t="s">
        <v>144</v>
      </c>
      <c r="B86" t="s">
        <v>5</v>
      </c>
      <c r="C86" t="str">
        <f>_xlfn.XLOOKUP(B86, Restaurants!$A$2:$A$17, Restaurants!$B$2:$B$17, "Unknown")</f>
        <v>Punjab Grill</v>
      </c>
      <c r="D86" t="str">
        <f>_xlfn.XLOOKUP(B86, Restaurants!$A$2:$A$17, Restaurants!$D$2:$D$17, "Unknown")</f>
        <v>Dine-in</v>
      </c>
      <c r="E86" t="s">
        <v>70</v>
      </c>
      <c r="F86" t="s">
        <v>7</v>
      </c>
      <c r="G86" s="3">
        <v>45370</v>
      </c>
      <c r="H86">
        <v>29</v>
      </c>
      <c r="I86">
        <v>3</v>
      </c>
      <c r="J86" s="2">
        <v>930</v>
      </c>
      <c r="K86" t="s">
        <v>54</v>
      </c>
    </row>
    <row r="87" spans="1:11" x14ac:dyDescent="0.3">
      <c r="A87" t="s">
        <v>145</v>
      </c>
      <c r="B87" t="s">
        <v>29</v>
      </c>
      <c r="C87" t="str">
        <f>_xlfn.XLOOKUP(B87, Restaurants!$A$2:$A$17, Restaurants!$B$2:$B$17, "Unknown")</f>
        <v>Moti Mahal Delux</v>
      </c>
      <c r="D87" t="str">
        <f>_xlfn.XLOOKUP(B87, Restaurants!$A$2:$A$17, Restaurants!$D$2:$D$17, "Unknown")</f>
        <v>Dine-in</v>
      </c>
      <c r="E87" t="s">
        <v>57</v>
      </c>
      <c r="F87" t="s">
        <v>14</v>
      </c>
      <c r="G87" s="3">
        <v>45306</v>
      </c>
      <c r="H87">
        <v>36</v>
      </c>
      <c r="I87">
        <v>4</v>
      </c>
      <c r="J87" s="2">
        <v>530</v>
      </c>
      <c r="K87" t="s">
        <v>54</v>
      </c>
    </row>
    <row r="88" spans="1:11" x14ac:dyDescent="0.3">
      <c r="A88" t="s">
        <v>146</v>
      </c>
      <c r="B88" t="s">
        <v>19</v>
      </c>
      <c r="C88" t="str">
        <f>_xlfn.XLOOKUP(B88, Restaurants!$A$2:$A$17, Restaurants!$B$2:$B$17, "Unknown")</f>
        <v>Kake Da Dhaba</v>
      </c>
      <c r="D88" t="str">
        <f>_xlfn.XLOOKUP(B88, Restaurants!$A$2:$A$17, Restaurants!$D$2:$D$17, "Unknown")</f>
        <v>Dine-in</v>
      </c>
      <c r="E88" t="s">
        <v>57</v>
      </c>
      <c r="F88" t="s">
        <v>7</v>
      </c>
      <c r="G88" s="3">
        <v>45344</v>
      </c>
      <c r="H88">
        <v>26</v>
      </c>
      <c r="I88">
        <v>5</v>
      </c>
      <c r="J88" s="2">
        <v>390</v>
      </c>
      <c r="K88" t="s">
        <v>54</v>
      </c>
    </row>
    <row r="89" spans="1:11" x14ac:dyDescent="0.3">
      <c r="A89" t="s">
        <v>147</v>
      </c>
      <c r="B89" t="s">
        <v>15</v>
      </c>
      <c r="C89" t="str">
        <f>_xlfn.XLOOKUP(B89, Restaurants!$A$2:$A$17, Restaurants!$B$2:$B$17, "Unknown")</f>
        <v>Biryani By Kilo</v>
      </c>
      <c r="D89" t="str">
        <f>_xlfn.XLOOKUP(B89, Restaurants!$A$2:$A$17, Restaurants!$D$2:$D$17, "Unknown")</f>
        <v>Cloud Kitchen</v>
      </c>
      <c r="E89" t="s">
        <v>62</v>
      </c>
      <c r="F89" t="s">
        <v>17</v>
      </c>
      <c r="G89" s="3">
        <v>45333</v>
      </c>
      <c r="H89">
        <v>38</v>
      </c>
      <c r="I89">
        <v>4</v>
      </c>
      <c r="J89" s="2">
        <v>1230</v>
      </c>
      <c r="K89" t="s">
        <v>54</v>
      </c>
    </row>
    <row r="90" spans="1:11" x14ac:dyDescent="0.3">
      <c r="A90" t="s">
        <v>148</v>
      </c>
      <c r="B90" t="s">
        <v>19</v>
      </c>
      <c r="C90" t="str">
        <f>_xlfn.XLOOKUP(B90, Restaurants!$A$2:$A$17, Restaurants!$B$2:$B$17, "Unknown")</f>
        <v>Kake Da Dhaba</v>
      </c>
      <c r="D90" t="str">
        <f>_xlfn.XLOOKUP(B90, Restaurants!$A$2:$A$17, Restaurants!$D$2:$D$17, "Unknown")</f>
        <v>Dine-in</v>
      </c>
      <c r="E90" t="s">
        <v>70</v>
      </c>
      <c r="F90" t="s">
        <v>7</v>
      </c>
      <c r="G90" s="3">
        <v>45315</v>
      </c>
      <c r="H90">
        <v>22</v>
      </c>
      <c r="I90">
        <v>5</v>
      </c>
      <c r="J90" s="2">
        <v>1290</v>
      </c>
      <c r="K90" t="s">
        <v>68</v>
      </c>
    </row>
    <row r="91" spans="1:11" x14ac:dyDescent="0.3">
      <c r="A91" t="s">
        <v>149</v>
      </c>
      <c r="B91" t="s">
        <v>35</v>
      </c>
      <c r="C91" t="str">
        <f>_xlfn.XLOOKUP(B91, Restaurants!$A$2:$A$17, Restaurants!$B$2:$B$17, "Unknown")</f>
        <v>Madras Tiffin</v>
      </c>
      <c r="D91" t="str">
        <f>_xlfn.XLOOKUP(B91, Restaurants!$A$2:$A$17, Restaurants!$D$2:$D$17, "Unknown")</f>
        <v>QSR</v>
      </c>
      <c r="E91" t="s">
        <v>62</v>
      </c>
      <c r="F91" t="s">
        <v>23</v>
      </c>
      <c r="G91" s="3">
        <v>45306</v>
      </c>
      <c r="H91">
        <v>35</v>
      </c>
      <c r="I91">
        <v>5</v>
      </c>
      <c r="J91" s="2">
        <v>350</v>
      </c>
      <c r="K91" t="s">
        <v>84</v>
      </c>
    </row>
    <row r="92" spans="1:11" x14ac:dyDescent="0.3">
      <c r="A92" t="s">
        <v>150</v>
      </c>
      <c r="B92" t="s">
        <v>43</v>
      </c>
      <c r="C92" t="str">
        <f>_xlfn.XLOOKUP(B92, Restaurants!$A$2:$A$17, Restaurants!$B$2:$B$17, "Unknown")</f>
        <v>Osteria Delizia</v>
      </c>
      <c r="D92" t="str">
        <f>_xlfn.XLOOKUP(B92, Restaurants!$A$2:$A$17, Restaurants!$D$2:$D$17, "Unknown")</f>
        <v>Dine-in</v>
      </c>
      <c r="E92" t="s">
        <v>57</v>
      </c>
      <c r="F92" t="s">
        <v>11</v>
      </c>
      <c r="G92" s="3">
        <v>45344</v>
      </c>
      <c r="H92">
        <v>31</v>
      </c>
      <c r="I92">
        <v>3</v>
      </c>
      <c r="J92" s="2">
        <v>1350</v>
      </c>
      <c r="K92" t="s">
        <v>54</v>
      </c>
    </row>
    <row r="93" spans="1:11" x14ac:dyDescent="0.3">
      <c r="A93" t="s">
        <v>151</v>
      </c>
      <c r="B93" t="s">
        <v>5</v>
      </c>
      <c r="C93" t="str">
        <f>_xlfn.XLOOKUP(B93, Restaurants!$A$2:$A$17, Restaurants!$B$2:$B$17, "Unknown")</f>
        <v>Punjab Grill</v>
      </c>
      <c r="D93" t="str">
        <f>_xlfn.XLOOKUP(B93, Restaurants!$A$2:$A$17, Restaurants!$D$2:$D$17, "Unknown")</f>
        <v>Dine-in</v>
      </c>
      <c r="E93" t="s">
        <v>57</v>
      </c>
      <c r="F93" t="s">
        <v>7</v>
      </c>
      <c r="G93" s="3">
        <v>45380</v>
      </c>
      <c r="H93">
        <v>36</v>
      </c>
      <c r="I93">
        <v>3</v>
      </c>
      <c r="J93" s="2">
        <v>650</v>
      </c>
      <c r="K93" t="s">
        <v>54</v>
      </c>
    </row>
    <row r="94" spans="1:11" x14ac:dyDescent="0.3">
      <c r="A94" t="s">
        <v>152</v>
      </c>
      <c r="B94" t="s">
        <v>29</v>
      </c>
      <c r="C94" t="str">
        <f>_xlfn.XLOOKUP(B94, Restaurants!$A$2:$A$17, Restaurants!$B$2:$B$17, "Unknown")</f>
        <v>Moti Mahal Delux</v>
      </c>
      <c r="D94" t="str">
        <f>_xlfn.XLOOKUP(B94, Restaurants!$A$2:$A$17, Restaurants!$D$2:$D$17, "Unknown")</f>
        <v>Dine-in</v>
      </c>
      <c r="E94" t="s">
        <v>57</v>
      </c>
      <c r="F94" t="s">
        <v>14</v>
      </c>
      <c r="G94" s="3">
        <v>45366</v>
      </c>
      <c r="H94">
        <v>29</v>
      </c>
      <c r="I94">
        <v>3</v>
      </c>
      <c r="J94" s="2">
        <v>250</v>
      </c>
      <c r="K94" t="s">
        <v>54</v>
      </c>
    </row>
    <row r="95" spans="1:11" x14ac:dyDescent="0.3">
      <c r="A95" t="s">
        <v>153</v>
      </c>
      <c r="B95" t="s">
        <v>24</v>
      </c>
      <c r="C95" t="str">
        <f>_xlfn.XLOOKUP(B95, Restaurants!$A$2:$A$17, Restaurants!$B$2:$B$17, "Unknown")</f>
        <v>Noodle Bar</v>
      </c>
      <c r="D95" t="str">
        <f>_xlfn.XLOOKUP(B95, Restaurants!$A$2:$A$17, Restaurants!$D$2:$D$17, "Unknown")</f>
        <v>QSR</v>
      </c>
      <c r="E95" t="s">
        <v>53</v>
      </c>
      <c r="F95" t="s">
        <v>23</v>
      </c>
      <c r="G95" s="3">
        <v>45369</v>
      </c>
      <c r="H95">
        <v>36</v>
      </c>
      <c r="I95">
        <v>5</v>
      </c>
      <c r="J95" s="2">
        <v>850</v>
      </c>
      <c r="K95" t="s">
        <v>54</v>
      </c>
    </row>
    <row r="96" spans="1:11" x14ac:dyDescent="0.3">
      <c r="A96" t="s">
        <v>154</v>
      </c>
      <c r="B96" t="s">
        <v>12</v>
      </c>
      <c r="C96" t="str">
        <f>_xlfn.XLOOKUP(B96, Restaurants!$A$2:$A$17, Restaurants!$B$2:$B$17, "Unknown")</f>
        <v>Mainland China</v>
      </c>
      <c r="D96" t="str">
        <f>_xlfn.XLOOKUP(B96, Restaurants!$A$2:$A$17, Restaurants!$D$2:$D$17, "Unknown")</f>
        <v>Dine-in</v>
      </c>
      <c r="E96" t="s">
        <v>53</v>
      </c>
      <c r="F96" t="s">
        <v>14</v>
      </c>
      <c r="G96" s="3">
        <v>45341</v>
      </c>
      <c r="H96">
        <v>31</v>
      </c>
      <c r="I96">
        <v>4</v>
      </c>
      <c r="J96" s="2">
        <v>1150</v>
      </c>
      <c r="K96" t="s">
        <v>54</v>
      </c>
    </row>
    <row r="97" spans="1:11" x14ac:dyDescent="0.3">
      <c r="A97" t="s">
        <v>155</v>
      </c>
      <c r="B97" t="s">
        <v>37</v>
      </c>
      <c r="C97" t="str">
        <f>_xlfn.XLOOKUP(B97, Restaurants!$A$2:$A$17, Restaurants!$B$2:$B$17, "Unknown")</f>
        <v>Paradise Biryani</v>
      </c>
      <c r="D97" t="str">
        <f>_xlfn.XLOOKUP(B97, Restaurants!$A$2:$A$17, Restaurants!$D$2:$D$17, "Unknown")</f>
        <v>Dine-in</v>
      </c>
      <c r="E97" t="s">
        <v>62</v>
      </c>
      <c r="F97" t="s">
        <v>11</v>
      </c>
      <c r="G97" s="3">
        <v>45346</v>
      </c>
      <c r="H97">
        <v>35</v>
      </c>
      <c r="I97">
        <v>4</v>
      </c>
      <c r="J97" s="2">
        <v>1210</v>
      </c>
      <c r="K97" t="s">
        <v>54</v>
      </c>
    </row>
    <row r="98" spans="1:11" x14ac:dyDescent="0.3">
      <c r="A98" t="s">
        <v>156</v>
      </c>
      <c r="B98" t="s">
        <v>9</v>
      </c>
      <c r="C98" t="str">
        <f>_xlfn.XLOOKUP(B98, Restaurants!$A$2:$A$17, Restaurants!$B$2:$B$17, "Unknown")</f>
        <v>Bella Italia</v>
      </c>
      <c r="D98" t="str">
        <f>_xlfn.XLOOKUP(B98, Restaurants!$A$2:$A$17, Restaurants!$D$2:$D$17, "Unknown")</f>
        <v>Dine-in</v>
      </c>
      <c r="E98" t="s">
        <v>57</v>
      </c>
      <c r="F98" t="s">
        <v>11</v>
      </c>
      <c r="G98" s="3">
        <v>45324</v>
      </c>
      <c r="H98">
        <v>32</v>
      </c>
      <c r="I98">
        <v>4</v>
      </c>
      <c r="J98" s="2">
        <v>1310</v>
      </c>
      <c r="K98" t="s">
        <v>68</v>
      </c>
    </row>
    <row r="99" spans="1:11" x14ac:dyDescent="0.3">
      <c r="A99" t="s">
        <v>157</v>
      </c>
      <c r="B99" t="s">
        <v>9</v>
      </c>
      <c r="C99" t="str">
        <f>_xlfn.XLOOKUP(B99, Restaurants!$A$2:$A$17, Restaurants!$B$2:$B$17, "Unknown")</f>
        <v>Bella Italia</v>
      </c>
      <c r="D99" t="str">
        <f>_xlfn.XLOOKUP(B99, Restaurants!$A$2:$A$17, Restaurants!$D$2:$D$17, "Unknown")</f>
        <v>Dine-in</v>
      </c>
      <c r="E99" t="s">
        <v>57</v>
      </c>
      <c r="F99" t="s">
        <v>11</v>
      </c>
      <c r="G99" s="3">
        <v>45368</v>
      </c>
      <c r="H99">
        <v>23</v>
      </c>
      <c r="I99">
        <v>5</v>
      </c>
      <c r="J99" s="2">
        <v>330</v>
      </c>
      <c r="K99" t="s">
        <v>54</v>
      </c>
    </row>
    <row r="100" spans="1:11" x14ac:dyDescent="0.3">
      <c r="A100" t="s">
        <v>158</v>
      </c>
      <c r="B100" t="s">
        <v>33</v>
      </c>
      <c r="C100" t="str">
        <f>_xlfn.XLOOKUP(B100, Restaurants!$A$2:$A$17, Restaurants!$B$2:$B$17, "Unknown")</f>
        <v>Wok Express</v>
      </c>
      <c r="D100" t="str">
        <f>_xlfn.XLOOKUP(B100, Restaurants!$A$2:$A$17, Restaurants!$D$2:$D$17, "Unknown")</f>
        <v>Cloud Kitchen</v>
      </c>
      <c r="E100" t="s">
        <v>53</v>
      </c>
      <c r="F100" t="s">
        <v>17</v>
      </c>
      <c r="G100" s="3">
        <v>45328</v>
      </c>
      <c r="H100">
        <v>35</v>
      </c>
      <c r="I100">
        <v>5</v>
      </c>
      <c r="J100" s="2">
        <v>1250</v>
      </c>
      <c r="K100" t="s">
        <v>68</v>
      </c>
    </row>
    <row r="101" spans="1:11" x14ac:dyDescent="0.3">
      <c r="A101" t="s">
        <v>159</v>
      </c>
      <c r="B101" t="s">
        <v>43</v>
      </c>
      <c r="C101" t="str">
        <f>_xlfn.XLOOKUP(B101, Restaurants!$A$2:$A$17, Restaurants!$B$2:$B$17, "Unknown")</f>
        <v>Osteria Delizia</v>
      </c>
      <c r="D101" t="str">
        <f>_xlfn.XLOOKUP(B101, Restaurants!$A$2:$A$17, Restaurants!$D$2:$D$17, "Unknown")</f>
        <v>Dine-in</v>
      </c>
      <c r="E101" t="s">
        <v>57</v>
      </c>
      <c r="F101" t="s">
        <v>11</v>
      </c>
      <c r="G101" s="3">
        <v>45293</v>
      </c>
      <c r="H101">
        <v>42</v>
      </c>
      <c r="I101">
        <v>2</v>
      </c>
      <c r="J101" s="2">
        <v>910</v>
      </c>
      <c r="K101" t="s">
        <v>54</v>
      </c>
    </row>
    <row r="102" spans="1:11" x14ac:dyDescent="0.3">
      <c r="A102" t="s">
        <v>160</v>
      </c>
      <c r="B102" t="s">
        <v>41</v>
      </c>
      <c r="C102" t="str">
        <f>_xlfn.XLOOKUP(B102, Restaurants!$A$2:$A$17, Restaurants!$B$2:$B$17, "Unknown")</f>
        <v>Pind Balluchi</v>
      </c>
      <c r="D102" t="str">
        <f>_xlfn.XLOOKUP(B102, Restaurants!$A$2:$A$17, Restaurants!$D$2:$D$17, "Unknown")</f>
        <v>Dine-in</v>
      </c>
      <c r="E102" t="s">
        <v>53</v>
      </c>
      <c r="F102" t="s">
        <v>14</v>
      </c>
      <c r="G102" s="3">
        <v>45300</v>
      </c>
      <c r="H102">
        <v>39</v>
      </c>
      <c r="I102">
        <v>4</v>
      </c>
      <c r="J102" s="2">
        <v>530</v>
      </c>
      <c r="K102" t="s">
        <v>54</v>
      </c>
    </row>
    <row r="103" spans="1:11" x14ac:dyDescent="0.3">
      <c r="A103" t="s">
        <v>161</v>
      </c>
      <c r="B103" t="s">
        <v>24</v>
      </c>
      <c r="C103" t="str">
        <f>_xlfn.XLOOKUP(B103, Restaurants!$A$2:$A$17, Restaurants!$B$2:$B$17, "Unknown")</f>
        <v>Noodle Bar</v>
      </c>
      <c r="D103" t="str">
        <f>_xlfn.XLOOKUP(B103, Restaurants!$A$2:$A$17, Restaurants!$D$2:$D$17, "Unknown")</f>
        <v>QSR</v>
      </c>
      <c r="E103" t="s">
        <v>53</v>
      </c>
      <c r="F103" t="s">
        <v>23</v>
      </c>
      <c r="G103" s="3">
        <v>45339</v>
      </c>
      <c r="H103">
        <v>51</v>
      </c>
      <c r="I103">
        <v>3</v>
      </c>
      <c r="J103" s="2">
        <v>810</v>
      </c>
      <c r="K103" t="s">
        <v>68</v>
      </c>
    </row>
    <row r="104" spans="1:11" x14ac:dyDescent="0.3">
      <c r="A104" t="s">
        <v>162</v>
      </c>
      <c r="B104" t="s">
        <v>27</v>
      </c>
      <c r="C104" t="str">
        <f>_xlfn.XLOOKUP(B104, Restaurants!$A$2:$A$17, Restaurants!$B$2:$B$17, "Unknown")</f>
        <v>Behrouz Biryani</v>
      </c>
      <c r="D104" t="str">
        <f>_xlfn.XLOOKUP(B104, Restaurants!$A$2:$A$17, Restaurants!$D$2:$D$17, "Unknown")</f>
        <v>Cloud Kitchen</v>
      </c>
      <c r="E104" t="s">
        <v>62</v>
      </c>
      <c r="F104" t="s">
        <v>7</v>
      </c>
      <c r="G104" s="3">
        <v>45367</v>
      </c>
      <c r="H104">
        <v>28</v>
      </c>
      <c r="I104">
        <v>5</v>
      </c>
      <c r="J104" s="2">
        <v>1090</v>
      </c>
      <c r="K104" t="s">
        <v>54</v>
      </c>
    </row>
    <row r="105" spans="1:11" x14ac:dyDescent="0.3">
      <c r="A105" t="s">
        <v>163</v>
      </c>
      <c r="B105" t="s">
        <v>33</v>
      </c>
      <c r="C105" t="str">
        <f>_xlfn.XLOOKUP(B105, Restaurants!$A$2:$A$17, Restaurants!$B$2:$B$17, "Unknown")</f>
        <v>Wok Express</v>
      </c>
      <c r="D105" t="str">
        <f>_xlfn.XLOOKUP(B105, Restaurants!$A$2:$A$17, Restaurants!$D$2:$D$17, "Unknown")</f>
        <v>Cloud Kitchen</v>
      </c>
      <c r="E105" t="s">
        <v>53</v>
      </c>
      <c r="F105" t="s">
        <v>17</v>
      </c>
      <c r="G105" s="3">
        <v>45298</v>
      </c>
      <c r="H105">
        <v>25</v>
      </c>
      <c r="I105">
        <v>4</v>
      </c>
      <c r="J105" s="2">
        <v>1330</v>
      </c>
      <c r="K105" t="s">
        <v>54</v>
      </c>
    </row>
    <row r="106" spans="1:11" x14ac:dyDescent="0.3">
      <c r="A106" t="s">
        <v>164</v>
      </c>
      <c r="B106" t="s">
        <v>33</v>
      </c>
      <c r="C106" t="str">
        <f>_xlfn.XLOOKUP(B106, Restaurants!$A$2:$A$17, Restaurants!$B$2:$B$17, "Unknown")</f>
        <v>Wok Express</v>
      </c>
      <c r="D106" t="str">
        <f>_xlfn.XLOOKUP(B106, Restaurants!$A$2:$A$17, Restaurants!$D$2:$D$17, "Unknown")</f>
        <v>Cloud Kitchen</v>
      </c>
      <c r="E106" t="s">
        <v>53</v>
      </c>
      <c r="F106" t="s">
        <v>17</v>
      </c>
      <c r="G106" s="3">
        <v>45304</v>
      </c>
      <c r="H106">
        <v>20</v>
      </c>
      <c r="I106">
        <v>5</v>
      </c>
      <c r="J106" s="2">
        <v>290</v>
      </c>
      <c r="K106" t="s">
        <v>68</v>
      </c>
    </row>
    <row r="107" spans="1:11" x14ac:dyDescent="0.3">
      <c r="A107" t="s">
        <v>165</v>
      </c>
      <c r="B107" t="s">
        <v>33</v>
      </c>
      <c r="C107" t="str">
        <f>_xlfn.XLOOKUP(B107, Restaurants!$A$2:$A$17, Restaurants!$B$2:$B$17, "Unknown")</f>
        <v>Wok Express</v>
      </c>
      <c r="D107" t="str">
        <f>_xlfn.XLOOKUP(B107, Restaurants!$A$2:$A$17, Restaurants!$D$2:$D$17, "Unknown")</f>
        <v>Cloud Kitchen</v>
      </c>
      <c r="E107" t="s">
        <v>53</v>
      </c>
      <c r="F107" t="s">
        <v>17</v>
      </c>
      <c r="G107" s="3">
        <v>45352</v>
      </c>
      <c r="H107">
        <v>34</v>
      </c>
      <c r="I107">
        <v>3</v>
      </c>
      <c r="J107" s="2">
        <v>1390</v>
      </c>
      <c r="K107" t="s">
        <v>54</v>
      </c>
    </row>
    <row r="108" spans="1:11" x14ac:dyDescent="0.3">
      <c r="A108" t="s">
        <v>166</v>
      </c>
      <c r="B108" t="s">
        <v>19</v>
      </c>
      <c r="C108" t="str">
        <f>_xlfn.XLOOKUP(B108, Restaurants!$A$2:$A$17, Restaurants!$B$2:$B$17, "Unknown")</f>
        <v>Kake Da Dhaba</v>
      </c>
      <c r="D108" t="str">
        <f>_xlfn.XLOOKUP(B108, Restaurants!$A$2:$A$17, Restaurants!$D$2:$D$17, "Unknown")</f>
        <v>Dine-in</v>
      </c>
      <c r="E108" t="s">
        <v>70</v>
      </c>
      <c r="F108" t="s">
        <v>7</v>
      </c>
      <c r="G108" s="3">
        <v>45323</v>
      </c>
      <c r="H108">
        <v>24</v>
      </c>
      <c r="I108">
        <v>5</v>
      </c>
      <c r="J108" s="2">
        <v>330</v>
      </c>
      <c r="K108" t="s">
        <v>54</v>
      </c>
    </row>
    <row r="109" spans="1:11" x14ac:dyDescent="0.3">
      <c r="A109" t="s">
        <v>167</v>
      </c>
      <c r="B109" t="s">
        <v>31</v>
      </c>
      <c r="C109" t="str">
        <f>_xlfn.XLOOKUP(B109, Restaurants!$A$2:$A$17, Restaurants!$B$2:$B$17, "Unknown")</f>
        <v>Little Italy</v>
      </c>
      <c r="D109" t="str">
        <f>_xlfn.XLOOKUP(B109, Restaurants!$A$2:$A$17, Restaurants!$D$2:$D$17, "Unknown")</f>
        <v>Dine-in</v>
      </c>
      <c r="E109" t="s">
        <v>57</v>
      </c>
      <c r="F109" t="s">
        <v>17</v>
      </c>
      <c r="G109" s="3">
        <v>45324</v>
      </c>
      <c r="H109">
        <v>29</v>
      </c>
      <c r="I109">
        <v>4</v>
      </c>
      <c r="J109" s="2">
        <v>1130</v>
      </c>
      <c r="K109" t="s">
        <v>54</v>
      </c>
    </row>
    <row r="110" spans="1:11" x14ac:dyDescent="0.3">
      <c r="A110" t="s">
        <v>168</v>
      </c>
      <c r="B110" t="s">
        <v>31</v>
      </c>
      <c r="C110" t="str">
        <f>_xlfn.XLOOKUP(B110, Restaurants!$A$2:$A$17, Restaurants!$B$2:$B$17, "Unknown")</f>
        <v>Little Italy</v>
      </c>
      <c r="D110" t="str">
        <f>_xlfn.XLOOKUP(B110, Restaurants!$A$2:$A$17, Restaurants!$D$2:$D$17, "Unknown")</f>
        <v>Dine-in</v>
      </c>
      <c r="E110" t="s">
        <v>70</v>
      </c>
      <c r="F110" t="s">
        <v>17</v>
      </c>
      <c r="G110" s="3">
        <v>45335</v>
      </c>
      <c r="H110">
        <v>31</v>
      </c>
      <c r="I110">
        <v>3</v>
      </c>
      <c r="J110" s="2">
        <v>1190</v>
      </c>
      <c r="K110" t="s">
        <v>54</v>
      </c>
    </row>
    <row r="111" spans="1:11" x14ac:dyDescent="0.3">
      <c r="A111" t="s">
        <v>169</v>
      </c>
      <c r="B111" t="s">
        <v>31</v>
      </c>
      <c r="C111" t="str">
        <f>_xlfn.XLOOKUP(B111, Restaurants!$A$2:$A$17, Restaurants!$B$2:$B$17, "Unknown")</f>
        <v>Little Italy</v>
      </c>
      <c r="D111" t="str">
        <f>_xlfn.XLOOKUP(B111, Restaurants!$A$2:$A$17, Restaurants!$D$2:$D$17, "Unknown")</f>
        <v>Dine-in</v>
      </c>
      <c r="E111" t="s">
        <v>62</v>
      </c>
      <c r="F111" t="s">
        <v>17</v>
      </c>
      <c r="G111" s="3">
        <v>45364</v>
      </c>
      <c r="H111">
        <v>47</v>
      </c>
      <c r="I111">
        <v>3</v>
      </c>
      <c r="J111" s="2">
        <v>1270</v>
      </c>
      <c r="K111" t="s">
        <v>54</v>
      </c>
    </row>
    <row r="112" spans="1:11" x14ac:dyDescent="0.3">
      <c r="A112" t="s">
        <v>170</v>
      </c>
      <c r="B112" t="s">
        <v>41</v>
      </c>
      <c r="C112" t="str">
        <f>_xlfn.XLOOKUP(B112, Restaurants!$A$2:$A$17, Restaurants!$B$2:$B$17, "Unknown")</f>
        <v>Pind Balluchi</v>
      </c>
      <c r="D112" t="str">
        <f>_xlfn.XLOOKUP(B112, Restaurants!$A$2:$A$17, Restaurants!$D$2:$D$17, "Unknown")</f>
        <v>Dine-in</v>
      </c>
      <c r="E112" t="s">
        <v>62</v>
      </c>
      <c r="F112" t="s">
        <v>14</v>
      </c>
      <c r="G112" s="3">
        <v>45335</v>
      </c>
      <c r="H112">
        <v>22</v>
      </c>
      <c r="I112">
        <v>5</v>
      </c>
      <c r="J112" s="2">
        <v>1130</v>
      </c>
      <c r="K112" t="s">
        <v>54</v>
      </c>
    </row>
    <row r="113" spans="1:11" x14ac:dyDescent="0.3">
      <c r="A113" t="s">
        <v>171</v>
      </c>
      <c r="B113" t="s">
        <v>33</v>
      </c>
      <c r="C113" t="str">
        <f>_xlfn.XLOOKUP(B113, Restaurants!$A$2:$A$17, Restaurants!$B$2:$B$17, "Unknown")</f>
        <v>Wok Express</v>
      </c>
      <c r="D113" t="str">
        <f>_xlfn.XLOOKUP(B113, Restaurants!$A$2:$A$17, Restaurants!$D$2:$D$17, "Unknown")</f>
        <v>Cloud Kitchen</v>
      </c>
      <c r="E113" t="s">
        <v>53</v>
      </c>
      <c r="F113" t="s">
        <v>17</v>
      </c>
      <c r="G113" s="3">
        <v>45314</v>
      </c>
      <c r="H113">
        <v>42</v>
      </c>
      <c r="I113">
        <v>3</v>
      </c>
      <c r="J113" s="2">
        <v>1170</v>
      </c>
      <c r="K113" t="s">
        <v>68</v>
      </c>
    </row>
    <row r="114" spans="1:11" x14ac:dyDescent="0.3">
      <c r="A114" t="s">
        <v>172</v>
      </c>
      <c r="B114" t="s">
        <v>33</v>
      </c>
      <c r="C114" t="str">
        <f>_xlfn.XLOOKUP(B114, Restaurants!$A$2:$A$17, Restaurants!$B$2:$B$17, "Unknown")</f>
        <v>Wok Express</v>
      </c>
      <c r="D114" t="str">
        <f>_xlfn.XLOOKUP(B114, Restaurants!$A$2:$A$17, Restaurants!$D$2:$D$17, "Unknown")</f>
        <v>Cloud Kitchen</v>
      </c>
      <c r="E114" t="s">
        <v>53</v>
      </c>
      <c r="F114" t="s">
        <v>17</v>
      </c>
      <c r="G114" s="3">
        <v>45339</v>
      </c>
      <c r="H114">
        <v>28</v>
      </c>
      <c r="I114">
        <v>5</v>
      </c>
      <c r="J114" s="2">
        <v>530</v>
      </c>
      <c r="K114" t="s">
        <v>54</v>
      </c>
    </row>
    <row r="115" spans="1:11" x14ac:dyDescent="0.3">
      <c r="A115" t="s">
        <v>173</v>
      </c>
      <c r="B115" t="s">
        <v>24</v>
      </c>
      <c r="C115" t="str">
        <f>_xlfn.XLOOKUP(B115, Restaurants!$A$2:$A$17, Restaurants!$B$2:$B$17, "Unknown")</f>
        <v>Noodle Bar</v>
      </c>
      <c r="D115" t="str">
        <f>_xlfn.XLOOKUP(B115, Restaurants!$A$2:$A$17, Restaurants!$D$2:$D$17, "Unknown")</f>
        <v>QSR</v>
      </c>
      <c r="E115" t="s">
        <v>53</v>
      </c>
      <c r="F115" t="s">
        <v>23</v>
      </c>
      <c r="G115" s="3">
        <v>45325</v>
      </c>
      <c r="H115">
        <v>27</v>
      </c>
      <c r="I115">
        <v>4</v>
      </c>
      <c r="J115" s="2">
        <v>1370</v>
      </c>
      <c r="K115" t="s">
        <v>68</v>
      </c>
    </row>
    <row r="116" spans="1:11" x14ac:dyDescent="0.3">
      <c r="A116" t="s">
        <v>174</v>
      </c>
      <c r="B116" t="s">
        <v>21</v>
      </c>
      <c r="C116" t="str">
        <f>_xlfn.XLOOKUP(B116, Restaurants!$A$2:$A$17, Restaurants!$B$2:$B$17, "Unknown")</f>
        <v>Toscano Trattoria</v>
      </c>
      <c r="D116" t="str">
        <f>_xlfn.XLOOKUP(B116, Restaurants!$A$2:$A$17, Restaurants!$D$2:$D$17, "Unknown")</f>
        <v>Dine-in</v>
      </c>
      <c r="E116" t="s">
        <v>57</v>
      </c>
      <c r="F116" t="s">
        <v>23</v>
      </c>
      <c r="G116" s="3">
        <v>45321</v>
      </c>
      <c r="H116">
        <v>51</v>
      </c>
      <c r="I116">
        <v>3</v>
      </c>
      <c r="J116" s="2">
        <v>1130</v>
      </c>
      <c r="K116" t="s">
        <v>68</v>
      </c>
    </row>
    <row r="117" spans="1:11" x14ac:dyDescent="0.3">
      <c r="A117" t="s">
        <v>175</v>
      </c>
      <c r="B117" t="s">
        <v>15</v>
      </c>
      <c r="C117" t="str">
        <f>_xlfn.XLOOKUP(B117, Restaurants!$A$2:$A$17, Restaurants!$B$2:$B$17, "Unknown")</f>
        <v>Biryani By Kilo</v>
      </c>
      <c r="D117" t="str">
        <f>_xlfn.XLOOKUP(B117, Restaurants!$A$2:$A$17, Restaurants!$D$2:$D$17, "Unknown")</f>
        <v>Cloud Kitchen</v>
      </c>
      <c r="E117" t="s">
        <v>62</v>
      </c>
      <c r="F117" t="s">
        <v>17</v>
      </c>
      <c r="G117" s="3">
        <v>45340</v>
      </c>
      <c r="H117">
        <v>37</v>
      </c>
      <c r="I117">
        <v>4</v>
      </c>
      <c r="J117" s="2">
        <v>390</v>
      </c>
      <c r="K117" t="s">
        <v>54</v>
      </c>
    </row>
    <row r="118" spans="1:11" x14ac:dyDescent="0.3">
      <c r="A118" t="s">
        <v>176</v>
      </c>
      <c r="B118" t="s">
        <v>35</v>
      </c>
      <c r="C118" t="str">
        <f>_xlfn.XLOOKUP(B118, Restaurants!$A$2:$A$17, Restaurants!$B$2:$B$17, "Unknown")</f>
        <v>Madras Tiffin</v>
      </c>
      <c r="D118" t="str">
        <f>_xlfn.XLOOKUP(B118, Restaurants!$A$2:$A$17, Restaurants!$D$2:$D$17, "Unknown")</f>
        <v>QSR</v>
      </c>
      <c r="E118" t="s">
        <v>53</v>
      </c>
      <c r="F118" t="s">
        <v>23</v>
      </c>
      <c r="G118" s="3">
        <v>45326</v>
      </c>
      <c r="H118">
        <v>42</v>
      </c>
      <c r="I118">
        <v>3</v>
      </c>
      <c r="J118" s="2">
        <v>1410</v>
      </c>
      <c r="K118" t="s">
        <v>54</v>
      </c>
    </row>
    <row r="119" spans="1:11" x14ac:dyDescent="0.3">
      <c r="A119" t="s">
        <v>177</v>
      </c>
      <c r="B119" t="s">
        <v>37</v>
      </c>
      <c r="C119" t="str">
        <f>_xlfn.XLOOKUP(B119, Restaurants!$A$2:$A$17, Restaurants!$B$2:$B$17, "Unknown")</f>
        <v>Paradise Biryani</v>
      </c>
      <c r="D119" t="str">
        <f>_xlfn.XLOOKUP(B119, Restaurants!$A$2:$A$17, Restaurants!$D$2:$D$17, "Unknown")</f>
        <v>Dine-in</v>
      </c>
      <c r="E119" t="s">
        <v>62</v>
      </c>
      <c r="F119" t="s">
        <v>11</v>
      </c>
      <c r="G119" s="3">
        <v>45321</v>
      </c>
      <c r="H119">
        <v>27</v>
      </c>
      <c r="I119">
        <v>5</v>
      </c>
      <c r="J119" s="2">
        <v>1290</v>
      </c>
      <c r="K119" t="s">
        <v>54</v>
      </c>
    </row>
    <row r="120" spans="1:11" x14ac:dyDescent="0.3">
      <c r="A120" t="s">
        <v>178</v>
      </c>
      <c r="B120" t="s">
        <v>21</v>
      </c>
      <c r="C120" t="str">
        <f>_xlfn.XLOOKUP(B120, Restaurants!$A$2:$A$17, Restaurants!$B$2:$B$17, "Unknown")</f>
        <v>Toscano Trattoria</v>
      </c>
      <c r="D120" t="str">
        <f>_xlfn.XLOOKUP(B120, Restaurants!$A$2:$A$17, Restaurants!$D$2:$D$17, "Unknown")</f>
        <v>Dine-in</v>
      </c>
      <c r="E120" t="s">
        <v>57</v>
      </c>
      <c r="F120" t="s">
        <v>23</v>
      </c>
      <c r="G120" s="3">
        <v>45324</v>
      </c>
      <c r="H120">
        <v>46</v>
      </c>
      <c r="I120">
        <v>2</v>
      </c>
      <c r="J120" s="2">
        <v>830</v>
      </c>
      <c r="K120" t="s">
        <v>54</v>
      </c>
    </row>
    <row r="121" spans="1:11" x14ac:dyDescent="0.3">
      <c r="A121" t="s">
        <v>179</v>
      </c>
      <c r="B121" t="s">
        <v>24</v>
      </c>
      <c r="C121" t="str">
        <f>_xlfn.XLOOKUP(B121, Restaurants!$A$2:$A$17, Restaurants!$B$2:$B$17, "Unknown")</f>
        <v>Noodle Bar</v>
      </c>
      <c r="D121" t="str">
        <f>_xlfn.XLOOKUP(B121, Restaurants!$A$2:$A$17, Restaurants!$D$2:$D$17, "Unknown")</f>
        <v>QSR</v>
      </c>
      <c r="E121" t="s">
        <v>53</v>
      </c>
      <c r="F121" t="s">
        <v>23</v>
      </c>
      <c r="G121" s="3">
        <v>45367</v>
      </c>
      <c r="H121">
        <v>35</v>
      </c>
      <c r="I121">
        <v>3</v>
      </c>
      <c r="J121" s="2">
        <v>850</v>
      </c>
      <c r="K121" t="s">
        <v>54</v>
      </c>
    </row>
  </sheetData>
  <conditionalFormatting sqref="J2:J121">
    <cfRule type="top10" dxfId="1" priority="1" percent="1" rank="10"/>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5ED18-1C68-45CF-B85D-E2D907B1C107}">
  <dimension ref="A1:H9"/>
  <sheetViews>
    <sheetView workbookViewId="0"/>
  </sheetViews>
  <sheetFormatPr defaultRowHeight="14.4" x14ac:dyDescent="0.3"/>
  <cols>
    <col min="1" max="1" width="50.77734375" bestFit="1" customWidth="1"/>
    <col min="2" max="2" width="28.88671875" bestFit="1" customWidth="1"/>
    <col min="3" max="3" width="19" bestFit="1" customWidth="1"/>
    <col min="4" max="4" width="27.5546875" bestFit="1" customWidth="1"/>
    <col min="5" max="5" width="25.21875" bestFit="1" customWidth="1"/>
    <col min="6" max="6" width="15.33203125" bestFit="1" customWidth="1"/>
    <col min="7" max="7" width="23.88671875" bestFit="1" customWidth="1"/>
    <col min="8" max="8" width="38.21875" bestFit="1" customWidth="1"/>
  </cols>
  <sheetData>
    <row r="1" spans="1:8" ht="18" x14ac:dyDescent="0.35">
      <c r="A1" s="4" t="s">
        <v>180</v>
      </c>
    </row>
    <row r="2" spans="1:8" x14ac:dyDescent="0.3">
      <c r="A2" s="5" t="s">
        <v>181</v>
      </c>
      <c r="B2" s="6" t="s">
        <v>182</v>
      </c>
      <c r="C2" s="7">
        <f>MEDIAN(tblOrders[DeliveryTime])</f>
        <v>33</v>
      </c>
      <c r="D2" s="6"/>
    </row>
    <row r="4" spans="1:8" x14ac:dyDescent="0.3">
      <c r="A4" s="8" t="s">
        <v>2</v>
      </c>
      <c r="B4" s="8" t="s">
        <v>183</v>
      </c>
      <c r="C4" s="8" t="s">
        <v>184</v>
      </c>
      <c r="D4" s="8" t="s">
        <v>185</v>
      </c>
      <c r="E4" s="8" t="s">
        <v>186</v>
      </c>
      <c r="F4" s="8" t="s">
        <v>187</v>
      </c>
      <c r="G4" s="8" t="s">
        <v>188</v>
      </c>
      <c r="H4" s="8" t="s">
        <v>189</v>
      </c>
    </row>
    <row r="5" spans="1:8" x14ac:dyDescent="0.3">
      <c r="A5" s="9" t="s">
        <v>7</v>
      </c>
      <c r="B5" s="10">
        <f>AVERAGEIF(tblOrders[Zone], A5, tblOrders[DeliveryTime])</f>
        <v>28.111111111111111</v>
      </c>
      <c r="C5" s="10">
        <f t="array" ref="C5">MEDIAN(IF(tblOrders[Zone]=A5, tblOrders[DeliveryTime]))</f>
        <v>28</v>
      </c>
      <c r="D5" s="10">
        <f t="array" ref="D5">_xlfn.STDEV.S(IF(tblOrders[Zone]=A5, tblOrders[DeliveryTime]))</f>
        <v>7.637626158259736</v>
      </c>
      <c r="E5" s="11">
        <f>AVERAGEIF(tblOrders[Zone], A5, tblOrders[Revenue])</f>
        <v>808.51851851851848</v>
      </c>
      <c r="F5" s="11">
        <f t="array" ref="F5">MEDIAN(IF(tblOrders[Zone]=A5, tblOrders[Revenue]))</f>
        <v>790</v>
      </c>
      <c r="G5" s="11">
        <f t="array" ref="G5">_xlfn.STDEV.S(IF(tblOrders[Zone]=A5, tblOrders[Revenue]))</f>
        <v>368.90382010766513</v>
      </c>
      <c r="H5" s="12" t="str">
        <f>IF(B5&gt;$C$2, "FLAGGED (Above Median)", "Normal (&lt;= Median)")</f>
        <v>Normal (&lt;= Median)</v>
      </c>
    </row>
    <row r="6" spans="1:8" x14ac:dyDescent="0.3">
      <c r="A6" s="9" t="s">
        <v>11</v>
      </c>
      <c r="B6" s="10">
        <f>AVERAGEIF(tblOrders[Zone], A6, tblOrders[DeliveryTime])</f>
        <v>32.454545454545453</v>
      </c>
      <c r="C6" s="10">
        <f t="array" ref="C6">MEDIAN(IF(tblOrders[Zone]=A6, tblOrders[DeliveryTime]))</f>
        <v>32</v>
      </c>
      <c r="D6" s="10">
        <f t="array" ref="D6">_xlfn.STDEV.S(IF(tblOrders[Zone]=A6, tblOrders[DeliveryTime]))</f>
        <v>8.7053747641069261</v>
      </c>
      <c r="E6" s="11">
        <f>AVERAGEIF(tblOrders[Zone], A6, tblOrders[Revenue])</f>
        <v>846.36363636363637</v>
      </c>
      <c r="F6" s="11">
        <f t="array" ref="F6">MEDIAN(IF(tblOrders[Zone]=A6, tblOrders[Revenue]))</f>
        <v>850</v>
      </c>
      <c r="G6" s="11">
        <f t="array" ref="G6">_xlfn.STDEV.S(IF(tblOrders[Zone]=A6, tblOrders[Revenue]))</f>
        <v>372.41228375405279</v>
      </c>
      <c r="H6" s="12" t="str">
        <f>IF(B6&gt;$C$2, "FLAGGED (Above Median)", "Normal (&lt;= Median)")</f>
        <v>Normal (&lt;= Median)</v>
      </c>
    </row>
    <row r="7" spans="1:8" x14ac:dyDescent="0.3">
      <c r="A7" s="9" t="s">
        <v>17</v>
      </c>
      <c r="B7" s="10">
        <f>AVERAGEIF(tblOrders[Zone], A7, tblOrders[DeliveryTime])</f>
        <v>28.958333333333332</v>
      </c>
      <c r="C7" s="10">
        <f t="array" ref="C7">MEDIAN(IF(tblOrders[Zone]=A7, tblOrders[DeliveryTime]))</f>
        <v>28</v>
      </c>
      <c r="D7" s="10">
        <f t="array" ref="D7">_xlfn.STDEV.S(IF(tblOrders[Zone]=A7, tblOrders[DeliveryTime]))</f>
        <v>8.3690899545091888</v>
      </c>
      <c r="E7" s="11">
        <f>AVERAGEIF(tblOrders[Zone], A7, tblOrders[Revenue])</f>
        <v>910</v>
      </c>
      <c r="F7" s="11">
        <f t="array" ref="F7">MEDIAN(IF(tblOrders[Zone]=A7, tblOrders[Revenue]))</f>
        <v>1060</v>
      </c>
      <c r="G7" s="11">
        <f t="array" ref="G7">_xlfn.STDEV.S(IF(tblOrders[Zone]=A7, tblOrders[Revenue]))</f>
        <v>396.41875092754697</v>
      </c>
      <c r="H7" s="12" t="str">
        <f>IF(B7&gt;$C$2, "FLAGGED (Above Median)", "Normal (&lt;= Median)")</f>
        <v>Normal (&lt;= Median)</v>
      </c>
    </row>
    <row r="8" spans="1:8" x14ac:dyDescent="0.3">
      <c r="A8" s="9" t="s">
        <v>23</v>
      </c>
      <c r="B8" s="10">
        <f>AVERAGEIF(tblOrders[Zone], A8, tblOrders[DeliveryTime])</f>
        <v>38.56</v>
      </c>
      <c r="C8" s="10">
        <f t="array" ref="C8">MEDIAN(IF(tblOrders[Zone]=A8, tblOrders[DeliveryTime]))</f>
        <v>38</v>
      </c>
      <c r="D8" s="10">
        <f t="array" ref="D8">_xlfn.STDEV.S(IF(tblOrders[Zone]=A8, tblOrders[DeliveryTime]))</f>
        <v>6.8012253797875868</v>
      </c>
      <c r="E8" s="11">
        <f>AVERAGEIF(tblOrders[Zone], A8, tblOrders[Revenue])</f>
        <v>984.4</v>
      </c>
      <c r="F8" s="11">
        <f t="array" ref="F8">MEDIAN(IF(tblOrders[Zone]=A8, tblOrders[Revenue]))</f>
        <v>1110</v>
      </c>
      <c r="G8" s="11">
        <f t="array" ref="G8">_xlfn.STDEV.S(IF(tblOrders[Zone]=A8, tblOrders[Revenue]))</f>
        <v>383.99305549276102</v>
      </c>
      <c r="H8" s="12" t="str">
        <f>IF(B8&gt;$C$2, "FLAGGED (Above Median)", "Normal (&lt;= Median)")</f>
        <v>FLAGGED (Above Median)</v>
      </c>
    </row>
    <row r="9" spans="1:8" x14ac:dyDescent="0.3">
      <c r="A9" s="9" t="s">
        <v>14</v>
      </c>
      <c r="B9" s="10">
        <f>AVERAGEIF(tblOrders[Zone], A9, tblOrders[DeliveryTime])</f>
        <v>36.590909090909093</v>
      </c>
      <c r="C9" s="10">
        <f t="array" ref="C9">MEDIAN(IF(tblOrders[Zone]=A9, tblOrders[DeliveryTime]))</f>
        <v>36.5</v>
      </c>
      <c r="D9" s="10">
        <f t="array" ref="D9">_xlfn.STDEV.S(IF(tblOrders[Zone]=A9, tblOrders[DeliveryTime]))</f>
        <v>9.5151963216194844</v>
      </c>
      <c r="E9" s="11">
        <f>AVERAGEIF(tblOrders[Zone], A9, tblOrders[Revenue])</f>
        <v>810</v>
      </c>
      <c r="F9" s="11">
        <f t="array" ref="F9">MEDIAN(IF(tblOrders[Zone]=A9, tblOrders[Revenue]))</f>
        <v>710</v>
      </c>
      <c r="G9" s="11">
        <f t="array" ref="G9">_xlfn.STDEV.S(IF(tblOrders[Zone]=A9, tblOrders[Revenue]))</f>
        <v>377.15728688124142</v>
      </c>
      <c r="H9" s="12" t="str">
        <f>IF(B9&gt;$C$2, "FLAGGED (Above Median)", "Normal (&lt;= Median)")</f>
        <v>FLAGGED (Above Median)</v>
      </c>
    </row>
  </sheetData>
  <conditionalFormatting sqref="H5:H9">
    <cfRule type="cellIs" dxfId="0" priority="1" stopIfTrue="1" operator="equal">
      <formula>"FLAGGED (Above Median)"</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95758-9643-4E22-95EE-D14BD9D9A8A7}">
  <dimension ref="A1:F20"/>
  <sheetViews>
    <sheetView tabSelected="1" workbookViewId="0">
      <selection activeCell="A5" sqref="A5"/>
    </sheetView>
  </sheetViews>
  <sheetFormatPr defaultRowHeight="14.4" x14ac:dyDescent="0.3"/>
  <cols>
    <col min="1" max="1" width="13.77734375" bestFit="1" customWidth="1"/>
    <col min="2" max="2" width="11" bestFit="1" customWidth="1"/>
    <col min="3" max="3" width="10.77734375" bestFit="1" customWidth="1"/>
    <col min="4" max="4" width="11.21875" customWidth="1"/>
    <col min="5" max="5" width="15.33203125" customWidth="1"/>
    <col min="6" max="6" width="8.88671875" bestFit="1" customWidth="1"/>
    <col min="7" max="7" width="10.77734375" bestFit="1" customWidth="1"/>
    <col min="8" max="8" width="20.77734375" customWidth="1"/>
    <col min="9" max="9" width="14.77734375" customWidth="1"/>
  </cols>
  <sheetData>
    <row r="1" spans="1:6" ht="21" customHeight="1" x14ac:dyDescent="0.3">
      <c r="A1" s="25" t="s">
        <v>190</v>
      </c>
      <c r="B1" s="25"/>
      <c r="C1" s="25"/>
      <c r="D1" s="25"/>
      <c r="E1" s="25"/>
      <c r="F1" s="25"/>
    </row>
    <row r="2" spans="1:6" x14ac:dyDescent="0.3">
      <c r="A2" s="25"/>
      <c r="B2" s="25"/>
      <c r="C2" s="25"/>
      <c r="D2" s="25"/>
      <c r="E2" s="25"/>
      <c r="F2" s="25"/>
    </row>
    <row r="3" spans="1:6" x14ac:dyDescent="0.3">
      <c r="A3" s="13" t="s">
        <v>191</v>
      </c>
      <c r="B3" s="14"/>
      <c r="C3" s="16" t="s">
        <v>192</v>
      </c>
      <c r="D3" s="17"/>
      <c r="E3" s="19" t="s">
        <v>193</v>
      </c>
      <c r="F3" s="20"/>
    </row>
    <row r="4" spans="1:6" ht="21" x14ac:dyDescent="0.4">
      <c r="A4" s="15">
        <f>SUM(tblOrders[Revenue])</f>
        <v>104720</v>
      </c>
      <c r="B4" s="14"/>
      <c r="C4" s="18">
        <f>AVERAGE(tblOrders[Rating])</f>
        <v>4.0083333333333337</v>
      </c>
      <c r="D4" s="17"/>
      <c r="E4" s="21">
        <f>COUNTIFS(tblOrders[Status], "Delivered", tblOrders[DeliveryTime], "&lt;=40") / COUNTA(tblOrders[OrderID])</f>
        <v>0.65833333333333333</v>
      </c>
      <c r="F4" s="20"/>
    </row>
    <row r="7" spans="1:6" x14ac:dyDescent="0.3">
      <c r="A7" s="1" t="s">
        <v>194</v>
      </c>
    </row>
    <row r="8" spans="1:6" x14ac:dyDescent="0.3">
      <c r="A8" s="22" t="s">
        <v>198</v>
      </c>
      <c r="B8" s="22" t="s">
        <v>197</v>
      </c>
    </row>
    <row r="9" spans="1:6" x14ac:dyDescent="0.3">
      <c r="A9" s="22" t="s">
        <v>195</v>
      </c>
      <c r="B9" t="s">
        <v>14</v>
      </c>
      <c r="C9" t="s">
        <v>196</v>
      </c>
    </row>
    <row r="10" spans="1:6" x14ac:dyDescent="0.3">
      <c r="A10" s="23" t="s">
        <v>62</v>
      </c>
      <c r="B10" s="2">
        <v>5560</v>
      </c>
      <c r="C10" s="2">
        <v>5560</v>
      </c>
    </row>
    <row r="11" spans="1:6" x14ac:dyDescent="0.3">
      <c r="A11" s="23" t="s">
        <v>53</v>
      </c>
      <c r="B11" s="2">
        <v>5900</v>
      </c>
      <c r="C11" s="2">
        <v>5900</v>
      </c>
    </row>
    <row r="12" spans="1:6" x14ac:dyDescent="0.3">
      <c r="A12" s="23" t="s">
        <v>57</v>
      </c>
      <c r="B12" s="2">
        <v>3670</v>
      </c>
      <c r="C12" s="2">
        <v>3670</v>
      </c>
    </row>
    <row r="13" spans="1:6" x14ac:dyDescent="0.3">
      <c r="A13" s="23" t="s">
        <v>70</v>
      </c>
      <c r="B13" s="2">
        <v>2690</v>
      </c>
      <c r="C13" s="2">
        <v>2690</v>
      </c>
    </row>
    <row r="14" spans="1:6" x14ac:dyDescent="0.3">
      <c r="A14" s="23" t="s">
        <v>196</v>
      </c>
      <c r="B14" s="2">
        <v>17820</v>
      </c>
      <c r="C14" s="2">
        <v>17820</v>
      </c>
    </row>
    <row r="18" spans="1:2" x14ac:dyDescent="0.3">
      <c r="A18" s="1" t="s">
        <v>199</v>
      </c>
    </row>
    <row r="19" spans="1:2" x14ac:dyDescent="0.3">
      <c r="A19" s="22" t="s">
        <v>195</v>
      </c>
      <c r="B19" t="s">
        <v>200</v>
      </c>
    </row>
    <row r="20" spans="1:2" x14ac:dyDescent="0.3">
      <c r="A20" s="23" t="s">
        <v>196</v>
      </c>
      <c r="B20" s="24"/>
    </row>
  </sheetData>
  <mergeCells count="1">
    <mergeCell ref="A1:F2"/>
  </mergeCells>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Restaurants</vt:lpstr>
      <vt:lpstr>Orders</vt:lpstr>
      <vt:lpstr>Zone Stats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Sarkhedi Mahek Sureshbhai</dc:creator>
  <cp:lastModifiedBy>Sarkhedi Mahek Sureshbhai</cp:lastModifiedBy>
  <dcterms:created xsi:type="dcterms:W3CDTF">2026-10-03T07:21:03Z</dcterms:created>
  <dcterms:modified xsi:type="dcterms:W3CDTF">2026-10-03T11:57:38Z</dcterms:modified>
</cp:coreProperties>
</file>