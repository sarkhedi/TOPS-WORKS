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TOPS-WORKS\ASSESMENT\ADVANCED EXCEL FOR DATA ANALYTICS\SECTION B\"/>
    </mc:Choice>
  </mc:AlternateContent>
  <xr:revisionPtr revIDLastSave="0" documentId="13_ncr:1_{5E73D1F6-67ED-4BD6-BB8C-D3B6108D2778}" xr6:coauthVersionLast="47" xr6:coauthVersionMax="47" xr10:uidLastSave="{00000000-0000-0000-0000-000000000000}"/>
  <bookViews>
    <workbookView xWindow="-108" yWindow="-108" windowWidth="23256" windowHeight="12456" xr2:uid="{60FA5CFF-1DE9-49E1-8649-8FF2C58FE695}"/>
  </bookViews>
  <sheets>
    <sheet name="Dashboard" sheetId="5" r:id="rId1"/>
    <sheet name="Stats Summary" sheetId="4" r:id="rId2"/>
    <sheet name="Premium Orders" sheetId="3" r:id="rId3"/>
    <sheet name="Restaurants" sheetId="2" r:id="rId4"/>
    <sheet name="Orders" sheetId="1" r:id="rId5"/>
  </sheets>
  <definedNames>
    <definedName name="_xlnm._FilterDatabase" localSheetId="4" hidden="1">Orders!$A$1:$M$61</definedName>
    <definedName name="_xlnm.Criteria" localSheetId="2">'Premium Orders'!$A$2:$C$3</definedName>
    <definedName name="_xlnm.Extract" localSheetId="2">'Premium Orders'!$A$6:$M$6</definedName>
    <definedName name="Slicer_Cuisine">#N/A</definedName>
    <definedName name="Timeline_OrderDat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4" l="1"/>
  <c r="C15" i="4"/>
  <c r="M58" i="1" s="1"/>
  <c r="C14" i="4"/>
  <c r="C13" i="4"/>
  <c r="C12" i="4"/>
  <c r="C11" i="4"/>
  <c r="C10" i="4"/>
  <c r="C9" i="4"/>
  <c r="C8" i="4"/>
  <c r="C7" i="4"/>
  <c r="C6" i="4"/>
  <c r="C5" i="4"/>
  <c r="C4" i="4"/>
  <c r="B70" i="1"/>
  <c r="B69" i="1"/>
  <c r="B68" i="1"/>
  <c r="B67" i="1"/>
  <c r="B66" i="1"/>
  <c r="M61" i="1"/>
  <c r="E61" i="1"/>
  <c r="D61" i="1"/>
  <c r="M60" i="1"/>
  <c r="E60" i="1"/>
  <c r="D60" i="1"/>
  <c r="M59" i="1"/>
  <c r="E59" i="1"/>
  <c r="D59" i="1"/>
  <c r="E58" i="1"/>
  <c r="D58" i="1"/>
  <c r="M57" i="1"/>
  <c r="E57" i="1"/>
  <c r="D57" i="1"/>
  <c r="M56" i="1"/>
  <c r="E56" i="1"/>
  <c r="D56" i="1"/>
  <c r="M55" i="1"/>
  <c r="E55" i="1"/>
  <c r="D55" i="1"/>
  <c r="E54" i="1"/>
  <c r="D54" i="1"/>
  <c r="M53" i="1"/>
  <c r="E53" i="1"/>
  <c r="D53" i="1"/>
  <c r="M52" i="1"/>
  <c r="E52" i="1"/>
  <c r="D52" i="1"/>
  <c r="M51" i="1"/>
  <c r="E51" i="1"/>
  <c r="D51" i="1"/>
  <c r="M50" i="1"/>
  <c r="E50" i="1"/>
  <c r="D50" i="1"/>
  <c r="M49" i="1"/>
  <c r="E49" i="1"/>
  <c r="D49" i="1"/>
  <c r="M48" i="1"/>
  <c r="E48" i="1"/>
  <c r="D48" i="1"/>
  <c r="M47" i="1"/>
  <c r="E47" i="1"/>
  <c r="D47" i="1"/>
  <c r="M46" i="1"/>
  <c r="E46" i="1"/>
  <c r="D46" i="1"/>
  <c r="M45" i="1"/>
  <c r="E45" i="1"/>
  <c r="D45" i="1"/>
  <c r="M44" i="1"/>
  <c r="E44" i="1"/>
  <c r="D44" i="1"/>
  <c r="M43" i="1"/>
  <c r="E43" i="1"/>
  <c r="D43" i="1"/>
  <c r="M42" i="1"/>
  <c r="E42" i="1"/>
  <c r="D42" i="1"/>
  <c r="M41" i="1"/>
  <c r="E41" i="1"/>
  <c r="D41" i="1"/>
  <c r="M40" i="1"/>
  <c r="E40" i="1"/>
  <c r="D40" i="1"/>
  <c r="M39" i="1"/>
  <c r="E39" i="1"/>
  <c r="D39" i="1"/>
  <c r="M38" i="1"/>
  <c r="E38" i="1"/>
  <c r="D38" i="1"/>
  <c r="M37" i="1"/>
  <c r="E37" i="1"/>
  <c r="D37" i="1"/>
  <c r="M36" i="1"/>
  <c r="E36" i="1"/>
  <c r="D36" i="1"/>
  <c r="M35" i="1"/>
  <c r="E35" i="1"/>
  <c r="D35" i="1"/>
  <c r="M34" i="1"/>
  <c r="E34" i="1"/>
  <c r="D34" i="1"/>
  <c r="M33" i="1"/>
  <c r="E33" i="1"/>
  <c r="D33" i="1"/>
  <c r="M32" i="1"/>
  <c r="E32" i="1"/>
  <c r="D32" i="1"/>
  <c r="M31" i="1"/>
  <c r="E31" i="1"/>
  <c r="D31" i="1"/>
  <c r="M30" i="1"/>
  <c r="E30" i="1"/>
  <c r="D30" i="1"/>
  <c r="M29" i="1"/>
  <c r="E29" i="1"/>
  <c r="D29" i="1"/>
  <c r="M28" i="1"/>
  <c r="E28" i="1"/>
  <c r="D28" i="1"/>
  <c r="M27" i="1"/>
  <c r="E27" i="1"/>
  <c r="D27" i="1"/>
  <c r="M26" i="1"/>
  <c r="E26" i="1"/>
  <c r="D26" i="1"/>
  <c r="M25" i="1"/>
  <c r="E25" i="1"/>
  <c r="D25" i="1"/>
  <c r="M24" i="1"/>
  <c r="E24" i="1"/>
  <c r="D24" i="1"/>
  <c r="M23" i="1"/>
  <c r="E23" i="1"/>
  <c r="D23" i="1"/>
  <c r="M22" i="1"/>
  <c r="E22" i="1"/>
  <c r="D22" i="1"/>
  <c r="M21" i="1"/>
  <c r="E21" i="1"/>
  <c r="D21" i="1"/>
  <c r="M20" i="1"/>
  <c r="E20" i="1"/>
  <c r="D20" i="1"/>
  <c r="M19" i="1"/>
  <c r="E19" i="1"/>
  <c r="D19" i="1"/>
  <c r="M18" i="1"/>
  <c r="E18" i="1"/>
  <c r="D18" i="1"/>
  <c r="M17" i="1"/>
  <c r="E17" i="1"/>
  <c r="D17" i="1"/>
  <c r="M16" i="1"/>
  <c r="E16" i="1"/>
  <c r="D16" i="1"/>
  <c r="M15" i="1"/>
  <c r="E15" i="1"/>
  <c r="D15" i="1"/>
  <c r="M14" i="1"/>
  <c r="E14" i="1"/>
  <c r="D14" i="1"/>
  <c r="M13" i="1"/>
  <c r="E13" i="1"/>
  <c r="D13" i="1"/>
  <c r="M12" i="1"/>
  <c r="E12" i="1"/>
  <c r="D12" i="1"/>
  <c r="M11" i="1"/>
  <c r="E11" i="1"/>
  <c r="D11" i="1"/>
  <c r="M10" i="1"/>
  <c r="E10" i="1"/>
  <c r="D10" i="1"/>
  <c r="M9" i="1"/>
  <c r="E9" i="1"/>
  <c r="D9" i="1"/>
  <c r="M8" i="1"/>
  <c r="E8" i="1"/>
  <c r="D8" i="1"/>
  <c r="M7" i="1"/>
  <c r="E7" i="1"/>
  <c r="D7" i="1"/>
  <c r="M6" i="1"/>
  <c r="E6" i="1"/>
  <c r="D6" i="1"/>
  <c r="M5" i="1"/>
  <c r="E5" i="1"/>
  <c r="D5" i="1"/>
  <c r="M4" i="1"/>
  <c r="E4" i="1"/>
  <c r="D4" i="1"/>
  <c r="M3" i="1"/>
  <c r="E3" i="1"/>
  <c r="D3" i="1"/>
  <c r="M2" i="1"/>
  <c r="E2" i="1"/>
  <c r="D2" i="1"/>
  <c r="M54" i="1" l="1"/>
</calcChain>
</file>

<file path=xl/sharedStrings.xml><?xml version="1.0" encoding="utf-8"?>
<sst xmlns="http://schemas.openxmlformats.org/spreadsheetml/2006/main" count="738" uniqueCount="251">
  <si>
    <t>RestaurantID</t>
  </si>
  <si>
    <t>RestaurantName</t>
  </si>
  <si>
    <t>Zone</t>
  </si>
  <si>
    <t>Category</t>
  </si>
  <si>
    <t>AvgRating</t>
  </si>
  <si>
    <t>R101</t>
  </si>
  <si>
    <t>Punjab Grill</t>
  </si>
  <si>
    <t>North</t>
  </si>
  <si>
    <t>Dine-in</t>
  </si>
  <si>
    <t>R102</t>
  </si>
  <si>
    <t>Bella Italia</t>
  </si>
  <si>
    <t>South</t>
  </si>
  <si>
    <t>R103</t>
  </si>
  <si>
    <t>Mainland China</t>
  </si>
  <si>
    <t>Central</t>
  </si>
  <si>
    <t>R104</t>
  </si>
  <si>
    <t>Sagar Ratna</t>
  </si>
  <si>
    <t>QSR</t>
  </si>
  <si>
    <t>R105</t>
  </si>
  <si>
    <t>Biryani By Kilo</t>
  </si>
  <si>
    <t>East</t>
  </si>
  <si>
    <t>Cloud Kitchen</t>
  </si>
  <si>
    <t>R106</t>
  </si>
  <si>
    <t>Kake Da Dhaba</t>
  </si>
  <si>
    <t>R107</t>
  </si>
  <si>
    <t>Toscano Trattoria</t>
  </si>
  <si>
    <t>West</t>
  </si>
  <si>
    <t>R108</t>
  </si>
  <si>
    <t>Noodle Bar</t>
  </si>
  <si>
    <t>R109</t>
  </si>
  <si>
    <t>Saravana Bhavan</t>
  </si>
  <si>
    <t>R110</t>
  </si>
  <si>
    <t>Behrouz Biryani</t>
  </si>
  <si>
    <t>R111</t>
  </si>
  <si>
    <t>Moti Mahal Delux</t>
  </si>
  <si>
    <t>R112</t>
  </si>
  <si>
    <t>Little Italy</t>
  </si>
  <si>
    <t>R113</t>
  </si>
  <si>
    <t>Wok Express</t>
  </si>
  <si>
    <t>R114</t>
  </si>
  <si>
    <t>Madras Cafe</t>
  </si>
  <si>
    <t>R115</t>
  </si>
  <si>
    <t>Paradise Biryani</t>
  </si>
  <si>
    <t>R116</t>
  </si>
  <si>
    <t>Curry Bowl</t>
  </si>
  <si>
    <t>OrderID</t>
  </si>
  <si>
    <t>CustomerName</t>
  </si>
  <si>
    <t>Cuisine</t>
  </si>
  <si>
    <t>OrderDate</t>
  </si>
  <si>
    <t>DeliveryTime</t>
  </si>
  <si>
    <t>Rating</t>
  </si>
  <si>
    <t>Revenue</t>
  </si>
  <si>
    <t>Status</t>
  </si>
  <si>
    <t>Orders</t>
  </si>
  <si>
    <t>Outlier Flag</t>
  </si>
  <si>
    <t>ORD1001</t>
  </si>
  <si>
    <t>Aarav Sharma</t>
  </si>
  <si>
    <t>North Indian</t>
  </si>
  <si>
    <t>Delivered</t>
  </si>
  <si>
    <t>ORD1002</t>
  </si>
  <si>
    <t>Diya Patel</t>
  </si>
  <si>
    <t>Italian</t>
  </si>
  <si>
    <t>ORD1003</t>
  </si>
  <si>
    <t>Rohan Verma</t>
  </si>
  <si>
    <t>Chinese</t>
  </si>
  <si>
    <t>Delayed</t>
  </si>
  <si>
    <t>ORD1004</t>
  </si>
  <si>
    <t>Ananya Iyer</t>
  </si>
  <si>
    <t>South Indian</t>
  </si>
  <si>
    <t>ORD1005</t>
  </si>
  <si>
    <t>Kabir Mehta</t>
  </si>
  <si>
    <t>Biryani</t>
  </si>
  <si>
    <t>ORD1006</t>
  </si>
  <si>
    <t>Ishita Gupta</t>
  </si>
  <si>
    <t>ORD1007</t>
  </si>
  <si>
    <t>Vikram Singh</t>
  </si>
  <si>
    <t>ORD1008</t>
  </si>
  <si>
    <t>Neha Reddy</t>
  </si>
  <si>
    <t>ORD1009</t>
  </si>
  <si>
    <t>Arjun Nair</t>
  </si>
  <si>
    <t>ORD1010</t>
  </si>
  <si>
    <t>Pooja Joshi</t>
  </si>
  <si>
    <t>ORD1011</t>
  </si>
  <si>
    <t>Aditya Rao</t>
  </si>
  <si>
    <t>ORD1012</t>
  </si>
  <si>
    <t>Tanvi Kulkarni</t>
  </si>
  <si>
    <t>ORD1013</t>
  </si>
  <si>
    <t>Siddharth Jain</t>
  </si>
  <si>
    <t>ORD1014</t>
  </si>
  <si>
    <t>Meera Pillai</t>
  </si>
  <si>
    <t>ORD1015</t>
  </si>
  <si>
    <t>Kunal Shah</t>
  </si>
  <si>
    <t>ORD1016</t>
  </si>
  <si>
    <t>Rhea Sen</t>
  </si>
  <si>
    <t>ORD1017</t>
  </si>
  <si>
    <t>Gaurav Bansal</t>
  </si>
  <si>
    <t>R999</t>
  </si>
  <si>
    <t>ORD1018</t>
  </si>
  <si>
    <t>Sneha Roy</t>
  </si>
  <si>
    <t>ORD1019</t>
  </si>
  <si>
    <t>Rahul Deshmukh</t>
  </si>
  <si>
    <t>ORD1020</t>
  </si>
  <si>
    <t>Priyanka Chopra</t>
  </si>
  <si>
    <t>ORD1021</t>
  </si>
  <si>
    <t>Manish Tiwari</t>
  </si>
  <si>
    <t>ORD1022</t>
  </si>
  <si>
    <t>Kavita Das</t>
  </si>
  <si>
    <t>ORD1023</t>
  </si>
  <si>
    <t>Sameer Khan</t>
  </si>
  <si>
    <t>Cancelled</t>
  </si>
  <si>
    <t>ORD1024</t>
  </si>
  <si>
    <t>Deepika Bhatt</t>
  </si>
  <si>
    <t>ORD1025</t>
  </si>
  <si>
    <t>Nikhil Saxena</t>
  </si>
  <si>
    <t>ORD1026</t>
  </si>
  <si>
    <t>Shweta Menon</t>
  </si>
  <si>
    <t>ORD1027</t>
  </si>
  <si>
    <t>Varun Kapoor</t>
  </si>
  <si>
    <t>ORD1028</t>
  </si>
  <si>
    <t>Anjali Ghosh</t>
  </si>
  <si>
    <t>ORD1029</t>
  </si>
  <si>
    <t>Harsh Vardhan</t>
  </si>
  <si>
    <t>ORD1030</t>
  </si>
  <si>
    <t>Divya Nambiar</t>
  </si>
  <si>
    <t>ORD1031</t>
  </si>
  <si>
    <t>Pranav Anand</t>
  </si>
  <si>
    <t>ORD1032</t>
  </si>
  <si>
    <t>Sonali Hegde</t>
  </si>
  <si>
    <t>ORD1033</t>
  </si>
  <si>
    <t>Mohit Chawla</t>
  </si>
  <si>
    <t>ORD1034</t>
  </si>
  <si>
    <t>Aakash Mittal</t>
  </si>
  <si>
    <t>ORD1035</t>
  </si>
  <si>
    <t>Pallavi Soni</t>
  </si>
  <si>
    <t>ORD1036</t>
  </si>
  <si>
    <t>Suresh Raina</t>
  </si>
  <si>
    <t>ORD1037</t>
  </si>
  <si>
    <t>Geeta Phogat</t>
  </si>
  <si>
    <t>ORD1038</t>
  </si>
  <si>
    <t>Rajesh Khanna</t>
  </si>
  <si>
    <t>ORD1039</t>
  </si>
  <si>
    <t>Simran Kaur</t>
  </si>
  <si>
    <t>ORD1040</t>
  </si>
  <si>
    <t>Tariq Ali</t>
  </si>
  <si>
    <t>ORD1041</t>
  </si>
  <si>
    <t>Bhavna Mishra</t>
  </si>
  <si>
    <t>ORD1042</t>
  </si>
  <si>
    <t>Karan Johar</t>
  </si>
  <si>
    <t>ORD1043</t>
  </si>
  <si>
    <t>Lata Mangeshkar</t>
  </si>
  <si>
    <t>ORD1044</t>
  </si>
  <si>
    <t>Udit Narayan</t>
  </si>
  <si>
    <t>ORD1045</t>
  </si>
  <si>
    <t>Sunidhi Chauhan</t>
  </si>
  <si>
    <t>ORD1046</t>
  </si>
  <si>
    <t>Shreya Ghoshal</t>
  </si>
  <si>
    <t>ORD1047</t>
  </si>
  <si>
    <t>Arijit Singh</t>
  </si>
  <si>
    <t>ORD1048</t>
  </si>
  <si>
    <t>Sonu Nigam</t>
  </si>
  <si>
    <t>ORD1049</t>
  </si>
  <si>
    <t>Armaan Malik</t>
  </si>
  <si>
    <t>ORD1050</t>
  </si>
  <si>
    <t>Badshah Grover</t>
  </si>
  <si>
    <t>ORD1051</t>
  </si>
  <si>
    <t>Diljit Dosanjh</t>
  </si>
  <si>
    <t>ORD1052</t>
  </si>
  <si>
    <t>Monali Thakur</t>
  </si>
  <si>
    <t>ORD1053</t>
  </si>
  <si>
    <t>Amit Trivedi</t>
  </si>
  <si>
    <t>ORD1054</t>
  </si>
  <si>
    <t>Neeti Mohan</t>
  </si>
  <si>
    <t>ORD1055</t>
  </si>
  <si>
    <t>Jubin Nautiyal</t>
  </si>
  <si>
    <t>ORD1056</t>
  </si>
  <si>
    <t>Darshan Raval</t>
  </si>
  <si>
    <t>ORD1057</t>
  </si>
  <si>
    <t>Jonita Gandhi</t>
  </si>
  <si>
    <t>ORD1058</t>
  </si>
  <si>
    <t>Papon Mahanta</t>
  </si>
  <si>
    <t>ORD1059</t>
  </si>
  <si>
    <t>Harshdeep Kaur</t>
  </si>
  <si>
    <t>ORD1060</t>
  </si>
  <si>
    <t>Hardy Sandhu</t>
  </si>
  <si>
    <t>ZONE REVENUE SUMMARY (Task 2)</t>
  </si>
  <si>
    <t>Average Revenue</t>
  </si>
  <si>
    <t>DELIVERY TIME PERFORMANCE EDA (Task 4)</t>
  </si>
  <si>
    <t>Metric Label</t>
  </si>
  <si>
    <t>Excel Function</t>
  </si>
  <si>
    <t>Calculated Value</t>
  </si>
  <si>
    <t>Unit / Notes</t>
  </si>
  <si>
    <t>Mean</t>
  </si>
  <si>
    <t>AVERAGE</t>
  </si>
  <si>
    <t>Arithmetic average</t>
  </si>
  <si>
    <t>Median</t>
  </si>
  <si>
    <t>MEDIAN</t>
  </si>
  <si>
    <t>50th percentile (typical time)</t>
  </si>
  <si>
    <t>Mode</t>
  </si>
  <si>
    <t>MODE.SNGL</t>
  </si>
  <si>
    <t>Most frequent delivery time</t>
  </si>
  <si>
    <t>Standard Deviation</t>
  </si>
  <si>
    <t>STDEV.S</t>
  </si>
  <si>
    <t>Sample standard deviation</t>
  </si>
  <si>
    <t>Variance</t>
  </si>
  <si>
    <t>VAR.S</t>
  </si>
  <si>
    <t>Sample variance</t>
  </si>
  <si>
    <t>Minimum</t>
  </si>
  <si>
    <t>MIN</t>
  </si>
  <si>
    <t>Fastest delivery recorded</t>
  </si>
  <si>
    <t>Maximum</t>
  </si>
  <si>
    <t>MAX</t>
  </si>
  <si>
    <t>Slowest delivery recorded</t>
  </si>
  <si>
    <t>25th Percentile (Q1)</t>
  </si>
  <si>
    <t>QUARTILE.INC(..., 1)</t>
  </si>
  <si>
    <t>First quartile</t>
  </si>
  <si>
    <t>75th Percentile (Q3)</t>
  </si>
  <si>
    <t>QUARTILE.INC(..., 3)</t>
  </si>
  <si>
    <t>Third quartile</t>
  </si>
  <si>
    <t>Interquartile Range (IQR)</t>
  </si>
  <si>
    <t>Q3 - Q1</t>
  </si>
  <si>
    <t>Spread of middle 50%</t>
  </si>
  <si>
    <t>Lower Bound (Outliers)</t>
  </si>
  <si>
    <t>Q1 - 1.5 * IQR</t>
  </si>
  <si>
    <t>Values below this are outliers</t>
  </si>
  <si>
    <t>Upper Bound (Outliers)</t>
  </si>
  <si>
    <t>Q3 + 1.5 * IQR</t>
  </si>
  <si>
    <t>Values above this are outliers</t>
  </si>
  <si>
    <t>Outlier Count</t>
  </si>
  <si>
    <t>COUNTIF(..., "Yes")</t>
  </si>
  <si>
    <t>Total flagged outlier deliveries</t>
  </si>
  <si>
    <t>ADVANCED FILTER CRITERIA</t>
  </si>
  <si>
    <t>&gt;500</t>
  </si>
  <si>
    <t>&gt;=4</t>
  </si>
  <si>
    <t>EXTRACTED PREMIUM ORDERS (Status='Delivered' AND Revenue&gt;500 AND Rating&gt;=4)</t>
  </si>
  <si>
    <t>No</t>
  </si>
  <si>
    <t>EXECUTIVE FOOD DELIVERY PERFORMANCE DASHBOARD (Task 3)</t>
  </si>
  <si>
    <t>Row Labels</t>
  </si>
  <si>
    <t>Grand Total</t>
  </si>
  <si>
    <t>Column Labels</t>
  </si>
  <si>
    <t>(All)</t>
  </si>
  <si>
    <t>Total Revenue</t>
  </si>
  <si>
    <t>Total Total Revenue</t>
  </si>
  <si>
    <t>Total Avg Revenue Per Order</t>
  </si>
  <si>
    <t>Avg Revenue Per Order</t>
  </si>
  <si>
    <t>Order Count</t>
  </si>
  <si>
    <t>Qtr1</t>
  </si>
  <si>
    <t>Jan</t>
  </si>
  <si>
    <t>Feb</t>
  </si>
  <si>
    <t>Mar</t>
  </si>
  <si>
    <t>Qtr2</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</si>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</sst>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yyyy/mm/dd"/>
    <numFmt numFmtId="166" formatCode="&quot;₹&quot;#,##0.00"/>
  </numFmts>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1"/>
      <color rgb="FFFFFFFF"/>
      <name val="Calibri"/>
      <family val="2"/>
      <scheme val="minor"/>
    </font>
    <font>
      <b/>
      <sz val="16"/>
      <color theme="1"/>
      <name val="Calibri"/>
      <family val="2"/>
      <scheme val="minor"/>
    </font>
  </fonts>
  <fills count="5">
    <fill>
      <patternFill patternType="none"/>
    </fill>
    <fill>
      <patternFill patternType="gray125"/>
    </fill>
    <fill>
      <patternFill patternType="solid">
        <fgColor rgb="FFE0E0E0"/>
        <bgColor indexed="64"/>
      </patternFill>
    </fill>
    <fill>
      <patternFill patternType="solid">
        <fgColor rgb="FFF2F2F2"/>
        <bgColor indexed="64"/>
      </patternFill>
    </fill>
    <fill>
      <patternFill patternType="solid">
        <fgColor rgb="FFB6752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164" fontId="0" fillId="0" borderId="0" xfId="0" applyNumberFormat="1"/>
    <xf numFmtId="165" fontId="0" fillId="0" borderId="0" xfId="0" applyNumberFormat="1"/>
    <xf numFmtId="0" fontId="2" fillId="0" borderId="0" xfId="0" applyFont="1"/>
    <xf numFmtId="166" fontId="0" fillId="0" borderId="0" xfId="0" applyNumberFormat="1"/>
    <xf numFmtId="0" fontId="1" fillId="0" borderId="1" xfId="0" applyFont="1" applyBorder="1"/>
    <xf numFmtId="0" fontId="0" fillId="0" borderId="1" xfId="0" applyBorder="1"/>
    <xf numFmtId="166" fontId="0" fillId="0" borderId="1" xfId="0" applyNumberFormat="1" applyBorder="1"/>
    <xf numFmtId="0" fontId="3" fillId="0" borderId="0" xfId="0" applyFont="1"/>
    <xf numFmtId="0" fontId="1" fillId="2" borderId="1" xfId="0" applyFont="1" applyFill="1" applyBorder="1"/>
    <xf numFmtId="2" fontId="0" fillId="0" borderId="1" xfId="0" applyNumberFormat="1" applyBorder="1"/>
    <xf numFmtId="2" fontId="1" fillId="0" borderId="1" xfId="0" applyNumberFormat="1" applyFont="1" applyBorder="1"/>
    <xf numFmtId="1" fontId="0" fillId="0" borderId="1" xfId="0" applyNumberFormat="1" applyBorder="1"/>
    <xf numFmtId="0" fontId="1" fillId="3" borderId="1" xfId="0" applyFont="1" applyFill="1" applyBorder="1"/>
    <xf numFmtId="0" fontId="0" fillId="3" borderId="1" xfId="0" applyFill="1" applyBorder="1"/>
    <xf numFmtId="0" fontId="4" fillId="4" borderId="0" xfId="0" applyFont="1" applyFill="1"/>
    <xf numFmtId="0" fontId="5" fillId="0" borderId="0" xfId="0" applyFon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cellXfs>
  <cellStyles count="1">
    <cellStyle name="Normal" xfId="0" builtinId="0"/>
  </cellStyles>
  <dxfs count="4">
    <dxf>
      <numFmt numFmtId="164" formatCode="&quot;₹&quot;#,##0"/>
    </dxf>
    <dxf>
      <numFmt numFmtId="165" formatCode="yyyy/mm/dd"/>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[Mahek_M3-A1.xlsx]Dashboard!ptRevenueByCuisineZone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Cuisine &amp;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Dashboard!$B$4:$B$6</c:f>
              <c:strCache>
                <c:ptCount val="1"/>
                <c:pt idx="0">
                  <c:v>East - Total Revenue</c:v>
                </c:pt>
              </c:strCache>
            </c:strRef>
          </c:tx>
          <c:spPr>
            <a:solidFill>
              <a:schemeClr val="accent1"/>
            </a:solidFill>
            <a:ln>
              <a:noFill/>
            </a:ln>
            <a:effectLst/>
          </c:spPr>
          <c:invertIfNegative val="0"/>
          <c:cat>
            <c:strRef>
              <c:f>Dashboard!$A$7:$A$8</c:f>
              <c:strCache>
                <c:ptCount val="1"/>
                <c:pt idx="0">
                  <c:v>Biryani</c:v>
                </c:pt>
              </c:strCache>
            </c:strRef>
          </c:cat>
          <c:val>
            <c:numRef>
              <c:f>Dashboard!$B$7:$B$8</c:f>
              <c:numCache>
                <c:formatCode>"₹"#,##0</c:formatCode>
                <c:ptCount val="1"/>
                <c:pt idx="0">
                  <c:v>3280</c:v>
                </c:pt>
              </c:numCache>
            </c:numRef>
          </c:val>
          <c:extLst>
            <c:ext xmlns:c16="http://schemas.microsoft.com/office/drawing/2014/chart" uri="{C3380CC4-5D6E-409C-BE32-E72D297353CC}">
              <c16:uniqueId val="{00000000-DBBE-45BC-84BC-0E5448C91E1F}"/>
            </c:ext>
          </c:extLst>
        </c:ser>
        <c:ser>
          <c:idx val="1"/>
          <c:order val="1"/>
          <c:tx>
            <c:strRef>
              <c:f>Dashboard!$C$4:$C$6</c:f>
              <c:strCache>
                <c:ptCount val="1"/>
                <c:pt idx="0">
                  <c:v>East - Avg Revenue Per Order</c:v>
                </c:pt>
              </c:strCache>
            </c:strRef>
          </c:tx>
          <c:spPr>
            <a:solidFill>
              <a:schemeClr val="accent2"/>
            </a:solidFill>
            <a:ln>
              <a:noFill/>
            </a:ln>
            <a:effectLst/>
          </c:spPr>
          <c:invertIfNegative val="0"/>
          <c:cat>
            <c:strRef>
              <c:f>Dashboard!$A$7:$A$8</c:f>
              <c:strCache>
                <c:ptCount val="1"/>
                <c:pt idx="0">
                  <c:v>Biryani</c:v>
                </c:pt>
              </c:strCache>
            </c:strRef>
          </c:cat>
          <c:val>
            <c:numRef>
              <c:f>Dashboard!$C$7:$C$8</c:f>
              <c:numCache>
                <c:formatCode>"₹"#,##0.00</c:formatCode>
                <c:ptCount val="1"/>
                <c:pt idx="0">
                  <c:v>820</c:v>
                </c:pt>
              </c:numCache>
            </c:numRef>
          </c:val>
          <c:extLst>
            <c:ext xmlns:c16="http://schemas.microsoft.com/office/drawing/2014/chart" uri="{C3380CC4-5D6E-409C-BE32-E72D297353CC}">
              <c16:uniqueId val="{00000001-DBBE-45BC-84BC-0E5448C91E1F}"/>
            </c:ext>
          </c:extLst>
        </c:ser>
        <c:ser>
          <c:idx val="2"/>
          <c:order val="2"/>
          <c:tx>
            <c:strRef>
              <c:f>Dashboard!$D$4:$D$6</c:f>
              <c:strCache>
                <c:ptCount val="1"/>
                <c:pt idx="0">
                  <c:v>North - Total Revenue</c:v>
                </c:pt>
              </c:strCache>
            </c:strRef>
          </c:tx>
          <c:spPr>
            <a:solidFill>
              <a:schemeClr val="accent3"/>
            </a:solidFill>
            <a:ln>
              <a:noFill/>
            </a:ln>
            <a:effectLst/>
          </c:spPr>
          <c:invertIfNegative val="0"/>
          <c:cat>
            <c:strRef>
              <c:f>Dashboard!$A$7:$A$8</c:f>
              <c:strCache>
                <c:ptCount val="1"/>
                <c:pt idx="0">
                  <c:v>Biryani</c:v>
                </c:pt>
              </c:strCache>
            </c:strRef>
          </c:cat>
          <c:val>
            <c:numRef>
              <c:f>Dashboard!$D$7:$D$8</c:f>
              <c:numCache>
                <c:formatCode>"₹"#,##0</c:formatCode>
                <c:ptCount val="1"/>
                <c:pt idx="0">
                  <c:v>3350</c:v>
                </c:pt>
              </c:numCache>
            </c:numRef>
          </c:val>
          <c:extLst>
            <c:ext xmlns:c16="http://schemas.microsoft.com/office/drawing/2014/chart" uri="{C3380CC4-5D6E-409C-BE32-E72D297353CC}">
              <c16:uniqueId val="{00000002-DBBE-45BC-84BC-0E5448C91E1F}"/>
            </c:ext>
          </c:extLst>
        </c:ser>
        <c:ser>
          <c:idx val="3"/>
          <c:order val="3"/>
          <c:tx>
            <c:strRef>
              <c:f>Dashboard!$E$4:$E$6</c:f>
              <c:strCache>
                <c:ptCount val="1"/>
                <c:pt idx="0">
                  <c:v>North - Avg Revenue Per Order</c:v>
                </c:pt>
              </c:strCache>
            </c:strRef>
          </c:tx>
          <c:spPr>
            <a:solidFill>
              <a:schemeClr val="accent4"/>
            </a:solidFill>
            <a:ln>
              <a:noFill/>
            </a:ln>
            <a:effectLst/>
          </c:spPr>
          <c:invertIfNegative val="0"/>
          <c:cat>
            <c:strRef>
              <c:f>Dashboard!$A$7:$A$8</c:f>
              <c:strCache>
                <c:ptCount val="1"/>
                <c:pt idx="0">
                  <c:v>Biryani</c:v>
                </c:pt>
              </c:strCache>
            </c:strRef>
          </c:cat>
          <c:val>
            <c:numRef>
              <c:f>Dashboard!$E$7:$E$8</c:f>
              <c:numCache>
                <c:formatCode>"₹"#,##0.00</c:formatCode>
                <c:ptCount val="1"/>
                <c:pt idx="0">
                  <c:v>837.5</c:v>
                </c:pt>
              </c:numCache>
            </c:numRef>
          </c:val>
          <c:extLst>
            <c:ext xmlns:c16="http://schemas.microsoft.com/office/drawing/2014/chart" uri="{C3380CC4-5D6E-409C-BE32-E72D297353CC}">
              <c16:uniqueId val="{00000003-DBBE-45BC-84BC-0E5448C91E1F}"/>
            </c:ext>
          </c:extLst>
        </c:ser>
        <c:ser>
          <c:idx val="4"/>
          <c:order val="4"/>
          <c:tx>
            <c:strRef>
              <c:f>Dashboard!$F$4:$F$6</c:f>
              <c:strCache>
                <c:ptCount val="1"/>
                <c:pt idx="0">
                  <c:v>South - Total Revenue</c:v>
                </c:pt>
              </c:strCache>
            </c:strRef>
          </c:tx>
          <c:spPr>
            <a:solidFill>
              <a:schemeClr val="accent5"/>
            </a:solidFill>
            <a:ln>
              <a:noFill/>
            </a:ln>
            <a:effectLst/>
          </c:spPr>
          <c:invertIfNegative val="0"/>
          <c:cat>
            <c:strRef>
              <c:f>Dashboard!$A$7:$A$8</c:f>
              <c:strCache>
                <c:ptCount val="1"/>
                <c:pt idx="0">
                  <c:v>Biryani</c:v>
                </c:pt>
              </c:strCache>
            </c:strRef>
          </c:cat>
          <c:val>
            <c:numRef>
              <c:f>Dashboard!$F$7:$F$8</c:f>
              <c:numCache>
                <c:formatCode>"₹"#,##0</c:formatCode>
                <c:ptCount val="1"/>
                <c:pt idx="0">
                  <c:v>3490</c:v>
                </c:pt>
              </c:numCache>
            </c:numRef>
          </c:val>
          <c:extLst>
            <c:ext xmlns:c16="http://schemas.microsoft.com/office/drawing/2014/chart" uri="{C3380CC4-5D6E-409C-BE32-E72D297353CC}">
              <c16:uniqueId val="{0000000D-88EA-4295-A9F4-59C0B7FB087A}"/>
            </c:ext>
          </c:extLst>
        </c:ser>
        <c:ser>
          <c:idx val="5"/>
          <c:order val="5"/>
          <c:tx>
            <c:strRef>
              <c:f>Dashboard!$G$4:$G$6</c:f>
              <c:strCache>
                <c:ptCount val="1"/>
                <c:pt idx="0">
                  <c:v>South - Avg Revenue Per Order</c:v>
                </c:pt>
              </c:strCache>
            </c:strRef>
          </c:tx>
          <c:spPr>
            <a:solidFill>
              <a:schemeClr val="accent6"/>
            </a:solidFill>
            <a:ln>
              <a:noFill/>
            </a:ln>
            <a:effectLst/>
          </c:spPr>
          <c:invertIfNegative val="0"/>
          <c:cat>
            <c:strRef>
              <c:f>Dashboard!$A$7:$A$8</c:f>
              <c:strCache>
                <c:ptCount val="1"/>
                <c:pt idx="0">
                  <c:v>Biryani</c:v>
                </c:pt>
              </c:strCache>
            </c:strRef>
          </c:cat>
          <c:val>
            <c:numRef>
              <c:f>Dashboard!$G$7:$G$8</c:f>
              <c:numCache>
                <c:formatCode>"₹"#,##0.00</c:formatCode>
                <c:ptCount val="1"/>
                <c:pt idx="0">
                  <c:v>872.5</c:v>
                </c:pt>
              </c:numCache>
            </c:numRef>
          </c:val>
          <c:extLst>
            <c:ext xmlns:c16="http://schemas.microsoft.com/office/drawing/2014/chart" uri="{C3380CC4-5D6E-409C-BE32-E72D297353CC}">
              <c16:uniqueId val="{0000000E-88EA-4295-A9F4-59C0B7FB087A}"/>
            </c:ext>
          </c:extLst>
        </c:ser>
        <c:dLbls>
          <c:showLegendKey val="0"/>
          <c:showVal val="0"/>
          <c:showCatName val="0"/>
          <c:showSerName val="0"/>
          <c:showPercent val="0"/>
          <c:showBubbleSize val="0"/>
        </c:dLbls>
        <c:gapWidth val="182"/>
        <c:axId val="1741216640"/>
        <c:axId val="2119318800"/>
      </c:barChart>
      <c:catAx>
        <c:axId val="174121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18800"/>
        <c:crosses val="autoZero"/>
        <c:auto val="1"/>
        <c:lblAlgn val="ctr"/>
        <c:lblOffset val="100"/>
        <c:noMultiLvlLbl val="0"/>
      </c:catAx>
      <c:valAx>
        <c:axId val="21193188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1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635000</xdr:colOff>
      <xdr:row>24</xdr:row>
      <xdr:rowOff>99060</xdr:rowOff>
    </xdr:from>
    <xdr:to>
      <xdr:col>6</xdr:col>
      <xdr:colOff>170180</xdr:colOff>
      <xdr:row>42</xdr:row>
      <xdr:rowOff>109220</xdr:rowOff>
    </xdr:to>
    <xdr:graphicFrame macro="">
      <xdr:nvGraphicFramePr>
        <xdr:cNvPr id="2" name="Chart 1">
          <a:extLst>
            <a:ext uri="{FF2B5EF4-FFF2-40B4-BE49-F238E27FC236}">
              <a16:creationId xmlns:a16="http://schemas.microsoft.com/office/drawing/2014/main" id="{C04D2B01-A284-1405-A117-AFC7E75CD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426720</xdr:colOff>
      <xdr:row>12</xdr:row>
      <xdr:rowOff>22860</xdr:rowOff>
    </xdr:from>
    <xdr:to>
      <xdr:col>6</xdr:col>
      <xdr:colOff>1356360</xdr:colOff>
      <xdr:row>25</xdr:row>
      <xdr:rowOff>112395</xdr:rowOff>
    </xdr:to>
    <mc:AlternateContent xmlns:mc="http://schemas.openxmlformats.org/markup-compatibility/2006">
      <mc:Choice xmlns:a14="http://schemas.microsoft.com/office/drawing/2010/main" Requires="a14">
        <xdr:graphicFrame macro="">
          <xdr:nvGraphicFramePr>
            <xdr:cNvPr id="3" name="Cuisine">
              <a:extLst>
                <a:ext uri="{FF2B5EF4-FFF2-40B4-BE49-F238E27FC236}">
                  <a16:creationId xmlns:a16="http://schemas.microsoft.com/office/drawing/2014/main" id="{9997C3A9-D524-38BF-E95E-0BF6A7047EAC}"/>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6088380" y="230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xdr:colOff>
      <xdr:row>12</xdr:row>
      <xdr:rowOff>7620</xdr:rowOff>
    </xdr:from>
    <xdr:to>
      <xdr:col>9</xdr:col>
      <xdr:colOff>411480</xdr:colOff>
      <xdr:row>19</xdr:row>
      <xdr:rowOff>99060</xdr:rowOff>
    </xdr:to>
    <mc:AlternateContent xmlns:mc="http://schemas.openxmlformats.org/markup-compatibility/2006">
      <mc:Choice xmlns:tsle="http://schemas.microsoft.com/office/drawing/2012/timeslicer" Requires="tsle">
        <xdr:graphicFrame macro="">
          <xdr:nvGraphicFramePr>
            <xdr:cNvPr id="4" name="OrderDate">
              <a:extLst>
                <a:ext uri="{FF2B5EF4-FFF2-40B4-BE49-F238E27FC236}">
                  <a16:creationId xmlns:a16="http://schemas.microsoft.com/office/drawing/2014/main" id="{6A6150BB-CD26-9C00-3CF5-9D8842FF5629}"/>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8031480" y="22860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k" refreshedDate="46298.527293402774" createdVersion="8" refreshedVersion="8" minRefreshableVersion="3" recordCount="60" xr:uid="{F3E73D33-F7E8-42C0-A743-A150D4F92156}">
  <cacheSource type="worksheet">
    <worksheetSource name="tblOrders"/>
  </cacheSource>
  <cacheFields count="16">
    <cacheField name="OrderID" numFmtId="0">
      <sharedItems/>
    </cacheField>
    <cacheField name="CustomerName" numFmtId="0">
      <sharedItems/>
    </cacheField>
    <cacheField name="RestaurantID" numFmtId="0">
      <sharedItems/>
    </cacheField>
    <cacheField name="RestaurantName" numFmtId="0">
      <sharedItems/>
    </cacheField>
    <cacheField name="Zone" numFmtId="0">
      <sharedItems count="6">
        <s v="North"/>
        <s v="South"/>
        <s v="Central"/>
        <s v="East"/>
        <s v="West"/>
        <s v="Not Listed"/>
      </sharedItems>
    </cacheField>
    <cacheField name="Cuisine" numFmtId="0">
      <sharedItems count="5">
        <s v="North Indian"/>
        <s v="Italian"/>
        <s v="Chinese"/>
        <s v="South Indian"/>
        <s v="Biryani"/>
      </sharedItems>
    </cacheField>
    <cacheField name="OrderDate" numFmtId="165">
      <sharedItems containsSemiMixedTypes="0" containsNonDate="0" containsDate="1" containsString="0" minDate="2024-01-05T00:00:00" maxDate="2024-05-01T00:00:00" count="50">
        <d v="2024-01-05T00:00:00"/>
        <d v="2024-01-08T00:00:00"/>
        <d v="2024-01-12T00:00:00"/>
        <d v="2024-01-15T00:00:00"/>
        <d v="2024-01-18T00:00:00"/>
        <d v="2024-01-22T00:00:00"/>
        <d v="2024-01-25T00:00:00"/>
        <d v="2024-01-28T00:00:00"/>
        <d v="2024-01-30T00:00:00"/>
        <d v="2024-02-02T00:00:00"/>
        <d v="2024-02-05T00:00:00"/>
        <d v="2024-02-08T00:00:00"/>
        <d v="2024-02-11T00:00:00"/>
        <d v="2024-02-14T00:00:00"/>
        <d v="2024-02-17T00:00:00"/>
        <d v="2024-02-20T00:00:00"/>
        <d v="2024-02-23T00:00:00"/>
        <d v="2024-02-26T00:00:00"/>
        <d v="2024-02-28T00:00:00"/>
        <d v="2024-03-02T00:00:00"/>
        <d v="2024-03-05T00:00:00"/>
        <d v="2024-03-07T00:00:00"/>
        <d v="2024-03-10T00:00:00"/>
        <d v="2024-03-12T00:00:00"/>
        <d v="2024-03-15T00:00:00"/>
        <d v="2024-03-18T00:00:00"/>
        <d v="2024-03-20T00:00:00"/>
        <d v="2024-03-23T00:00:00"/>
        <d v="2024-03-25T00:00:00"/>
        <d v="2024-03-28T00:00:00"/>
        <d v="2024-03-30T00:00:00"/>
        <d v="2024-04-02T00:00:00"/>
        <d v="2024-04-04T00:00:00"/>
        <d v="2024-04-06T00:00:00"/>
        <d v="2024-04-08T00:00:00"/>
        <d v="2024-04-10T00:00:00"/>
        <d v="2024-04-12T00:00:00"/>
        <d v="2024-04-14T00:00:00"/>
        <d v="2024-04-16T00:00:00"/>
        <d v="2024-04-18T00:00:00"/>
        <d v="2024-04-20T00:00:00"/>
        <d v="2024-04-22T00:00:00"/>
        <d v="2024-04-23T00:00:00"/>
        <d v="2024-04-24T00:00:00"/>
        <d v="2024-04-25T00:00:00"/>
        <d v="2024-04-26T00:00:00"/>
        <d v="2024-04-27T00:00:00"/>
        <d v="2024-04-28T00:00:00"/>
        <d v="2024-04-29T00:00:00"/>
        <d v="2024-04-30T00:00:00"/>
      </sharedItems>
      <fieldGroup par="15"/>
    </cacheField>
    <cacheField name="DeliveryTime" numFmtId="0">
      <sharedItems containsSemiMixedTypes="0" containsString="0" containsNumber="1" containsInteger="1" minValue="18" maxValue="88"/>
    </cacheField>
    <cacheField name="Rating" numFmtId="0">
      <sharedItems containsSemiMixedTypes="0" containsString="0" containsNumber="1" containsInteger="1" minValue="1" maxValue="5"/>
    </cacheField>
    <cacheField name="Revenue" numFmtId="164">
      <sharedItems containsSemiMixedTypes="0" containsString="0" containsNumber="1" containsInteger="1" minValue="280" maxValue="950"/>
    </cacheField>
    <cacheField name="Status" numFmtId="0">
      <sharedItems count="3">
        <s v="Delivered"/>
        <s v="Delayed"/>
        <s v="Cancelled"/>
      </sharedItems>
    </cacheField>
    <cacheField name="Orders" numFmtId="0">
      <sharedItems containsSemiMixedTypes="0" containsString="0" containsNumber="1" containsInteger="1" minValue="1" maxValue="1"/>
    </cacheField>
    <cacheField name="Outlier Flag" numFmtId="0">
      <sharedItems/>
    </cacheField>
    <cacheField name="AvgRevenuePerOrder" numFmtId="0" formula="Revenue/Orders" databaseField="0"/>
    <cacheField name="Months (OrderDate)" numFmtId="0" databaseField="0">
      <fieldGroup base="6">
        <rangePr groupBy="months" startDate="2024-01-05T00:00:00" endDate="2024-05-01T00:00:00"/>
        <groupItems count="14">
          <s v="&lt;05-01-2024"/>
          <s v="Jan"/>
          <s v="Feb"/>
          <s v="Mar"/>
          <s v="Apr"/>
          <s v="May"/>
          <s v="Jun"/>
          <s v="Jul"/>
          <s v="Aug"/>
          <s v="Sep"/>
          <s v="Oct"/>
          <s v="Nov"/>
          <s v="Dec"/>
          <s v="&gt;01-05-2024"/>
        </groupItems>
      </fieldGroup>
    </cacheField>
    <cacheField name="Quarters (OrderDate)" numFmtId="0" databaseField="0">
      <fieldGroup base="6">
        <rangePr groupBy="quarters" startDate="2024-01-05T00:00:00" endDate="2024-05-01T00:00:00"/>
        <groupItems count="6">
          <s v="&lt;05-01-2024"/>
          <s v="Qtr1"/>
          <s v="Qtr2"/>
          <s v="Qtr3"/>
          <s v="Qtr4"/>
          <s v="&gt;01-05-2024"/>
        </groupItems>
      </fieldGroup>
    </cacheField>
  </cacheFields>
  <extLst>
    <ext xmlns:x14="http://schemas.microsoft.com/office/spreadsheetml/2009/9/main" uri="{725AE2AE-9491-48be-B2B4-4EB974FC3084}">
      <x14:pivotCacheDefinition pivotCacheId="296196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ORD1001"/>
    <s v="Aarav Sharma"/>
    <s v="R101"/>
    <s v="Punjab Grill"/>
    <x v="0"/>
    <x v="0"/>
    <x v="0"/>
    <n v="25"/>
    <n v="5"/>
    <n v="850"/>
    <x v="0"/>
    <n v="1"/>
    <s v="No"/>
  </r>
  <r>
    <s v="ORD1002"/>
    <s v="Diya Patel"/>
    <s v="R102"/>
    <s v="Bella Italia"/>
    <x v="1"/>
    <x v="1"/>
    <x v="1"/>
    <n v="32"/>
    <n v="4"/>
    <n v="620"/>
    <x v="0"/>
    <n v="1"/>
    <s v="No"/>
  </r>
  <r>
    <s v="ORD1003"/>
    <s v="Rohan Verma"/>
    <s v="R103"/>
    <s v="Mainland China"/>
    <x v="2"/>
    <x v="2"/>
    <x v="2"/>
    <n v="48"/>
    <n v="3"/>
    <n v="450"/>
    <x v="1"/>
    <n v="1"/>
    <s v="No"/>
  </r>
  <r>
    <s v="ORD1004"/>
    <s v="Ananya Iyer"/>
    <s v="R104"/>
    <s v="Sagar Ratna"/>
    <x v="1"/>
    <x v="3"/>
    <x v="3"/>
    <n v="22"/>
    <n v="5"/>
    <n v="320"/>
    <x v="0"/>
    <n v="1"/>
    <s v="No"/>
  </r>
  <r>
    <s v="ORD1005"/>
    <s v="Kabir Mehta"/>
    <s v="R105"/>
    <s v="Biryani By Kilo"/>
    <x v="3"/>
    <x v="4"/>
    <x v="4"/>
    <n v="38"/>
    <n v="4"/>
    <n v="780"/>
    <x v="0"/>
    <n v="1"/>
    <s v="No"/>
  </r>
  <r>
    <s v="ORD1006"/>
    <s v="Ishita Gupta"/>
    <s v="R106"/>
    <s v="Kake Da Dhaba"/>
    <x v="0"/>
    <x v="0"/>
    <x v="5"/>
    <n v="28"/>
    <n v="4"/>
    <n v="540"/>
    <x v="0"/>
    <n v="1"/>
    <s v="No"/>
  </r>
  <r>
    <s v="ORD1007"/>
    <s v="Vikram Singh"/>
    <s v="R107"/>
    <s v="Toscano Trattoria"/>
    <x v="4"/>
    <x v="1"/>
    <x v="6"/>
    <n v="82"/>
    <n v="2"/>
    <n v="950"/>
    <x v="1"/>
    <n v="1"/>
    <s v="Yes"/>
  </r>
  <r>
    <s v="ORD1008"/>
    <s v="Neha Reddy"/>
    <s v="R108"/>
    <s v="Noodle Bar"/>
    <x v="4"/>
    <x v="2"/>
    <x v="7"/>
    <n v="35"/>
    <n v="4"/>
    <n v="480"/>
    <x v="0"/>
    <n v="1"/>
    <s v="No"/>
  </r>
  <r>
    <s v="ORD1009"/>
    <s v="Arjun Nair"/>
    <s v="R109"/>
    <s v="Saravana Bhavan"/>
    <x v="2"/>
    <x v="3"/>
    <x v="8"/>
    <n v="19"/>
    <n v="5"/>
    <n v="290"/>
    <x v="0"/>
    <n v="1"/>
    <s v="No"/>
  </r>
  <r>
    <s v="ORD1010"/>
    <s v="Pooja Joshi"/>
    <s v="R110"/>
    <s v="Behrouz Biryani"/>
    <x v="0"/>
    <x v="4"/>
    <x v="9"/>
    <n v="42"/>
    <n v="3"/>
    <n v="820"/>
    <x v="0"/>
    <n v="1"/>
    <s v="No"/>
  </r>
  <r>
    <s v="ORD1011"/>
    <s v="Aditya Rao"/>
    <s v="R111"/>
    <s v="Moti Mahal Delux"/>
    <x v="2"/>
    <x v="0"/>
    <x v="10"/>
    <n v="30"/>
    <n v="4"/>
    <n v="690"/>
    <x v="0"/>
    <n v="1"/>
    <s v="No"/>
  </r>
  <r>
    <s v="ORD1012"/>
    <s v="Tanvi Kulkarni"/>
    <s v="R112"/>
    <s v="Little Italy"/>
    <x v="3"/>
    <x v="1"/>
    <x v="11"/>
    <n v="27"/>
    <n v="5"/>
    <n v="880"/>
    <x v="0"/>
    <n v="1"/>
    <s v="No"/>
  </r>
  <r>
    <s v="ORD1013"/>
    <s v="Siddharth Jain"/>
    <s v="R113"/>
    <s v="Wok Express"/>
    <x v="3"/>
    <x v="2"/>
    <x v="12"/>
    <n v="52"/>
    <n v="2"/>
    <n v="380"/>
    <x v="1"/>
    <n v="1"/>
    <s v="No"/>
  </r>
  <r>
    <s v="ORD1014"/>
    <s v="Meera Pillai"/>
    <s v="R114"/>
    <s v="Madras Cafe"/>
    <x v="4"/>
    <x v="3"/>
    <x v="13"/>
    <n v="24"/>
    <n v="4"/>
    <n v="310"/>
    <x v="0"/>
    <n v="1"/>
    <s v="No"/>
  </r>
  <r>
    <s v="ORD1015"/>
    <s v="Kunal Shah"/>
    <s v="R115"/>
    <s v="Paradise Biryani"/>
    <x v="1"/>
    <x v="4"/>
    <x v="14"/>
    <n v="36"/>
    <n v="5"/>
    <n v="750"/>
    <x v="0"/>
    <n v="1"/>
    <s v="No"/>
  </r>
  <r>
    <s v="ORD1016"/>
    <s v="Rhea Sen"/>
    <s v="R101"/>
    <s v="Punjab Grill"/>
    <x v="0"/>
    <x v="0"/>
    <x v="15"/>
    <n v="29"/>
    <n v="4"/>
    <n v="580"/>
    <x v="0"/>
    <n v="1"/>
    <s v="No"/>
  </r>
  <r>
    <s v="ORD1017"/>
    <s v="Gaurav Bansal"/>
    <s v="R999"/>
    <s v="Not Listed"/>
    <x v="5"/>
    <x v="1"/>
    <x v="16"/>
    <n v="44"/>
    <n v="3"/>
    <n v="640"/>
    <x v="0"/>
    <n v="1"/>
    <s v="No"/>
  </r>
  <r>
    <s v="ORD1018"/>
    <s v="Sneha Roy"/>
    <s v="R103"/>
    <s v="Mainland China"/>
    <x v="2"/>
    <x v="2"/>
    <x v="17"/>
    <n v="26"/>
    <n v="4"/>
    <n v="520"/>
    <x v="0"/>
    <n v="1"/>
    <s v="No"/>
  </r>
  <r>
    <s v="ORD1019"/>
    <s v="Rahul Deshmukh"/>
    <s v="R104"/>
    <s v="Sagar Ratna"/>
    <x v="1"/>
    <x v="3"/>
    <x v="18"/>
    <n v="18"/>
    <n v="5"/>
    <n v="340"/>
    <x v="0"/>
    <n v="1"/>
    <s v="No"/>
  </r>
  <r>
    <s v="ORD1020"/>
    <s v="Priyanka Chopra"/>
    <s v="R105"/>
    <s v="Biryani By Kilo"/>
    <x v="3"/>
    <x v="4"/>
    <x v="19"/>
    <n v="40"/>
    <n v="4"/>
    <n v="920"/>
    <x v="0"/>
    <n v="1"/>
    <s v="No"/>
  </r>
  <r>
    <s v="ORD1021"/>
    <s v="Manish Tiwari"/>
    <s v="R106"/>
    <s v="Kake Da Dhaba"/>
    <x v="0"/>
    <x v="0"/>
    <x v="20"/>
    <n v="33"/>
    <n v="4"/>
    <n v="460"/>
    <x v="0"/>
    <n v="1"/>
    <s v="No"/>
  </r>
  <r>
    <s v="ORD1022"/>
    <s v="Kavita Das"/>
    <s v="R107"/>
    <s v="Toscano Trattoria"/>
    <x v="4"/>
    <x v="1"/>
    <x v="21"/>
    <n v="31"/>
    <n v="5"/>
    <n v="710"/>
    <x v="0"/>
    <n v="1"/>
    <s v="No"/>
  </r>
  <r>
    <s v="ORD1023"/>
    <s v="Sameer Khan"/>
    <s v="R108"/>
    <s v="Noodle Bar"/>
    <x v="4"/>
    <x v="2"/>
    <x v="22"/>
    <n v="65"/>
    <n v="1"/>
    <n v="410"/>
    <x v="2"/>
    <n v="1"/>
    <s v="Yes"/>
  </r>
  <r>
    <s v="ORD1024"/>
    <s v="Deepika Bhatt"/>
    <s v="R109"/>
    <s v="Saravana Bhavan"/>
    <x v="2"/>
    <x v="3"/>
    <x v="23"/>
    <n v="21"/>
    <n v="5"/>
    <n v="360"/>
    <x v="0"/>
    <n v="1"/>
    <s v="No"/>
  </r>
  <r>
    <s v="ORD1025"/>
    <s v="Nikhil Saxena"/>
    <s v="R110"/>
    <s v="Behrouz Biryani"/>
    <x v="0"/>
    <x v="4"/>
    <x v="24"/>
    <n v="37"/>
    <n v="4"/>
    <n v="840"/>
    <x v="0"/>
    <n v="1"/>
    <s v="No"/>
  </r>
  <r>
    <s v="ORD1026"/>
    <s v="Shweta Menon"/>
    <s v="R111"/>
    <s v="Moti Mahal Delux"/>
    <x v="2"/>
    <x v="0"/>
    <x v="25"/>
    <n v="29"/>
    <n v="4"/>
    <n v="620"/>
    <x v="0"/>
    <n v="1"/>
    <s v="No"/>
  </r>
  <r>
    <s v="ORD1027"/>
    <s v="Varun Kapoor"/>
    <s v="R112"/>
    <s v="Little Italy"/>
    <x v="3"/>
    <x v="1"/>
    <x v="26"/>
    <n v="34"/>
    <n v="4"/>
    <n v="760"/>
    <x v="0"/>
    <n v="1"/>
    <s v="No"/>
  </r>
  <r>
    <s v="ORD1028"/>
    <s v="Anjali Ghosh"/>
    <s v="R113"/>
    <s v="Wok Express"/>
    <x v="3"/>
    <x v="2"/>
    <x v="27"/>
    <n v="46"/>
    <n v="3"/>
    <n v="390"/>
    <x v="0"/>
    <n v="1"/>
    <s v="No"/>
  </r>
  <r>
    <s v="ORD1029"/>
    <s v="Harsh Vardhan"/>
    <s v="R114"/>
    <s v="Madras Cafe"/>
    <x v="4"/>
    <x v="3"/>
    <x v="28"/>
    <n v="23"/>
    <n v="4"/>
    <n v="280"/>
    <x v="0"/>
    <n v="1"/>
    <s v="No"/>
  </r>
  <r>
    <s v="ORD1030"/>
    <s v="Divya Nambiar"/>
    <s v="R115"/>
    <s v="Paradise Biryani"/>
    <x v="1"/>
    <x v="4"/>
    <x v="29"/>
    <n v="39"/>
    <n v="5"/>
    <n v="890"/>
    <x v="0"/>
    <n v="1"/>
    <s v="No"/>
  </r>
  <r>
    <s v="ORD1031"/>
    <s v="Pranav Anand"/>
    <s v="R101"/>
    <s v="Punjab Grill"/>
    <x v="0"/>
    <x v="0"/>
    <x v="30"/>
    <n v="26"/>
    <n v="5"/>
    <n v="740"/>
    <x v="0"/>
    <n v="1"/>
    <s v="No"/>
  </r>
  <r>
    <s v="ORD1032"/>
    <s v="Sonali Hegde"/>
    <s v="R102"/>
    <s v="Bella Italia"/>
    <x v="1"/>
    <x v="1"/>
    <x v="31"/>
    <n v="30"/>
    <n v="4"/>
    <n v="670"/>
    <x v="0"/>
    <n v="1"/>
    <s v="No"/>
  </r>
  <r>
    <s v="ORD1033"/>
    <s v="Mohit Chawla"/>
    <s v="R103"/>
    <s v="Mainland China"/>
    <x v="2"/>
    <x v="2"/>
    <x v="32"/>
    <n v="55"/>
    <n v="2"/>
    <n v="430"/>
    <x v="1"/>
    <n v="1"/>
    <s v="No"/>
  </r>
  <r>
    <s v="ORD1034"/>
    <s v="Aakash Mittal"/>
    <s v="R104"/>
    <s v="Sagar Ratna"/>
    <x v="1"/>
    <x v="3"/>
    <x v="33"/>
    <n v="20"/>
    <n v="5"/>
    <n v="330"/>
    <x v="0"/>
    <n v="1"/>
    <s v="No"/>
  </r>
  <r>
    <s v="ORD1035"/>
    <s v="Pallavi Soni"/>
    <s v="R105"/>
    <s v="Biryani By Kilo"/>
    <x v="3"/>
    <x v="4"/>
    <x v="34"/>
    <n v="41"/>
    <n v="4"/>
    <n v="810"/>
    <x v="0"/>
    <n v="1"/>
    <s v="No"/>
  </r>
  <r>
    <s v="ORD1036"/>
    <s v="Suresh Raina"/>
    <s v="R106"/>
    <s v="Kake Da Dhaba"/>
    <x v="0"/>
    <x v="0"/>
    <x v="35"/>
    <n v="32"/>
    <n v="4"/>
    <n v="590"/>
    <x v="0"/>
    <n v="1"/>
    <s v="No"/>
  </r>
  <r>
    <s v="ORD1037"/>
    <s v="Geeta Phogat"/>
    <s v="R107"/>
    <s v="Toscano Trattoria"/>
    <x v="4"/>
    <x v="1"/>
    <x v="36"/>
    <n v="28"/>
    <n v="5"/>
    <n v="930"/>
    <x v="0"/>
    <n v="1"/>
    <s v="No"/>
  </r>
  <r>
    <s v="ORD1038"/>
    <s v="Rajesh Khanna"/>
    <s v="R108"/>
    <s v="Noodle Bar"/>
    <x v="4"/>
    <x v="2"/>
    <x v="37"/>
    <n v="36"/>
    <n v="3"/>
    <n v="460"/>
    <x v="0"/>
    <n v="1"/>
    <s v="No"/>
  </r>
  <r>
    <s v="ORD1039"/>
    <s v="Simran Kaur"/>
    <s v="R109"/>
    <s v="Saravana Bhavan"/>
    <x v="2"/>
    <x v="3"/>
    <x v="38"/>
    <n v="22"/>
    <n v="5"/>
    <n v="350"/>
    <x v="0"/>
    <n v="1"/>
    <s v="No"/>
  </r>
  <r>
    <s v="ORD1040"/>
    <s v="Tariq Ali"/>
    <s v="R110"/>
    <s v="Behrouz Biryani"/>
    <x v="0"/>
    <x v="4"/>
    <x v="39"/>
    <n v="88"/>
    <n v="2"/>
    <n v="860"/>
    <x v="1"/>
    <n v="1"/>
    <s v="Yes"/>
  </r>
  <r>
    <s v="ORD1041"/>
    <s v="Bhavna Mishra"/>
    <s v="R111"/>
    <s v="Moti Mahal Delux"/>
    <x v="2"/>
    <x v="0"/>
    <x v="40"/>
    <n v="27"/>
    <n v="5"/>
    <n v="680"/>
    <x v="0"/>
    <n v="1"/>
    <s v="No"/>
  </r>
  <r>
    <s v="ORD1042"/>
    <s v="Karan Johar"/>
    <s v="R112"/>
    <s v="Little Italy"/>
    <x v="3"/>
    <x v="1"/>
    <x v="41"/>
    <n v="33"/>
    <n v="4"/>
    <n v="720"/>
    <x v="0"/>
    <n v="1"/>
    <s v="No"/>
  </r>
  <r>
    <s v="ORD1043"/>
    <s v="Lata Mangeshkar"/>
    <s v="R113"/>
    <s v="Wok Express"/>
    <x v="3"/>
    <x v="2"/>
    <x v="42"/>
    <n v="49"/>
    <n v="3"/>
    <n v="370"/>
    <x v="0"/>
    <n v="1"/>
    <s v="No"/>
  </r>
  <r>
    <s v="ORD1044"/>
    <s v="Udit Narayan"/>
    <s v="R114"/>
    <s v="Madras Cafe"/>
    <x v="4"/>
    <x v="3"/>
    <x v="43"/>
    <n v="25"/>
    <n v="4"/>
    <n v="290"/>
    <x v="0"/>
    <n v="1"/>
    <s v="No"/>
  </r>
  <r>
    <s v="ORD1045"/>
    <s v="Sunidhi Chauhan"/>
    <s v="R115"/>
    <s v="Paradise Biryani"/>
    <x v="1"/>
    <x v="4"/>
    <x v="44"/>
    <n v="38"/>
    <n v="5"/>
    <n v="910"/>
    <x v="0"/>
    <n v="1"/>
    <s v="No"/>
  </r>
  <r>
    <s v="ORD1046"/>
    <s v="Shreya Ghoshal"/>
    <s v="R101"/>
    <s v="Punjab Grill"/>
    <x v="0"/>
    <x v="0"/>
    <x v="45"/>
    <n v="24"/>
    <n v="5"/>
    <n v="790"/>
    <x v="0"/>
    <n v="1"/>
    <s v="No"/>
  </r>
  <r>
    <s v="ORD1047"/>
    <s v="Arijit Singh"/>
    <s v="R102"/>
    <s v="Bella Italia"/>
    <x v="1"/>
    <x v="1"/>
    <x v="46"/>
    <n v="35"/>
    <n v="4"/>
    <n v="630"/>
    <x v="0"/>
    <n v="1"/>
    <s v="No"/>
  </r>
  <r>
    <s v="ORD1048"/>
    <s v="Sonu Nigam"/>
    <s v="R103"/>
    <s v="Mainland China"/>
    <x v="2"/>
    <x v="2"/>
    <x v="47"/>
    <n v="29"/>
    <n v="4"/>
    <n v="510"/>
    <x v="0"/>
    <n v="1"/>
    <s v="No"/>
  </r>
  <r>
    <s v="ORD1049"/>
    <s v="Armaan Malik"/>
    <s v="R104"/>
    <s v="Sagar Ratna"/>
    <x v="1"/>
    <x v="3"/>
    <x v="47"/>
    <n v="19"/>
    <n v="5"/>
    <n v="310"/>
    <x v="0"/>
    <n v="1"/>
    <s v="No"/>
  </r>
  <r>
    <s v="ORD1050"/>
    <s v="Badshah Grover"/>
    <s v="R105"/>
    <s v="Biryani By Kilo"/>
    <x v="3"/>
    <x v="4"/>
    <x v="48"/>
    <n v="43"/>
    <n v="3"/>
    <n v="770"/>
    <x v="0"/>
    <n v="1"/>
    <s v="No"/>
  </r>
  <r>
    <s v="ORD1051"/>
    <s v="Diljit Dosanjh"/>
    <s v="R106"/>
    <s v="Kake Da Dhaba"/>
    <x v="0"/>
    <x v="0"/>
    <x v="48"/>
    <n v="31"/>
    <n v="4"/>
    <n v="550"/>
    <x v="0"/>
    <n v="1"/>
    <s v="No"/>
  </r>
  <r>
    <s v="ORD1052"/>
    <s v="Monali Thakur"/>
    <s v="R107"/>
    <s v="Toscano Trattoria"/>
    <x v="4"/>
    <x v="1"/>
    <x v="49"/>
    <n v="29"/>
    <n v="5"/>
    <n v="870"/>
    <x v="0"/>
    <n v="1"/>
    <s v="No"/>
  </r>
  <r>
    <s v="ORD1053"/>
    <s v="Amit Trivedi"/>
    <s v="R108"/>
    <s v="Noodle Bar"/>
    <x v="4"/>
    <x v="2"/>
    <x v="49"/>
    <n v="62"/>
    <n v="1"/>
    <n v="400"/>
    <x v="2"/>
    <n v="1"/>
    <s v="Yes"/>
  </r>
  <r>
    <s v="ORD1054"/>
    <s v="Neeti Mohan"/>
    <s v="R109"/>
    <s v="Saravana Bhavan"/>
    <x v="2"/>
    <x v="3"/>
    <x v="49"/>
    <n v="21"/>
    <n v="5"/>
    <n v="330"/>
    <x v="0"/>
    <n v="1"/>
    <s v="No"/>
  </r>
  <r>
    <s v="ORD1055"/>
    <s v="Jubin Nautiyal"/>
    <s v="R110"/>
    <s v="Behrouz Biryani"/>
    <x v="0"/>
    <x v="4"/>
    <x v="49"/>
    <n v="39"/>
    <n v="4"/>
    <n v="830"/>
    <x v="0"/>
    <n v="1"/>
    <s v="No"/>
  </r>
  <r>
    <s v="ORD1056"/>
    <s v="Darshan Raval"/>
    <s v="R111"/>
    <s v="Moti Mahal Delux"/>
    <x v="2"/>
    <x v="0"/>
    <x v="49"/>
    <n v="28"/>
    <n v="4"/>
    <n v="610"/>
    <x v="0"/>
    <n v="1"/>
    <s v="No"/>
  </r>
  <r>
    <s v="ORD1057"/>
    <s v="Jonita Gandhi"/>
    <s v="R112"/>
    <s v="Little Italy"/>
    <x v="3"/>
    <x v="1"/>
    <x v="49"/>
    <n v="32"/>
    <n v="4"/>
    <n v="740"/>
    <x v="0"/>
    <n v="1"/>
    <s v="No"/>
  </r>
  <r>
    <s v="ORD1058"/>
    <s v="Papon Mahanta"/>
    <s v="R113"/>
    <s v="Wok Express"/>
    <x v="3"/>
    <x v="2"/>
    <x v="49"/>
    <n v="47"/>
    <n v="3"/>
    <n v="380"/>
    <x v="0"/>
    <n v="1"/>
    <s v="No"/>
  </r>
  <r>
    <s v="ORD1059"/>
    <s v="Harshdeep Kaur"/>
    <s v="R114"/>
    <s v="Madras Cafe"/>
    <x v="4"/>
    <x v="3"/>
    <x v="49"/>
    <n v="22"/>
    <n v="5"/>
    <n v="300"/>
    <x v="0"/>
    <n v="1"/>
    <s v="No"/>
  </r>
  <r>
    <s v="ORD1060"/>
    <s v="Hardy Sandhu"/>
    <s v="R115"/>
    <s v="Paradise Biryani"/>
    <x v="1"/>
    <x v="4"/>
    <x v="49"/>
    <n v="37"/>
    <n v="5"/>
    <n v="940"/>
    <x v="0"/>
    <n v="1"/>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A9A41-C848-4494-994D-E5E3899FC978}" name="ptOrderTrend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0:B27" firstHeaderRow="1" firstDataRow="1" firstDataCol="1"/>
  <pivotFields count="16">
    <pivotField dataField="1" showAll="0"/>
    <pivotField showAll="0"/>
    <pivotField showAll="0"/>
    <pivotField showAll="0"/>
    <pivotField showAll="0"/>
    <pivotField showAll="0"/>
    <pivotField numFmtId="16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numFmtId="164"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5"/>
    <field x="14"/>
  </rowFields>
  <rowItems count="7">
    <i>
      <x v="1"/>
    </i>
    <i r="1">
      <x v="1"/>
    </i>
    <i r="1">
      <x v="2"/>
    </i>
    <i r="1">
      <x v="3"/>
    </i>
    <i>
      <x v="2"/>
    </i>
    <i r="1">
      <x v="4"/>
    </i>
    <i t="grand">
      <x/>
    </i>
  </rowItems>
  <colItems count="1">
    <i/>
  </colItems>
  <dataFields count="1">
    <dataField name="Order Count" fld="0" subtotal="count" baseField="0" baseItem="0" numFmtId="3"/>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13F221-94A7-4F9C-A4D2-25355A5328D8}" name="ptRevenueByCuisineZo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I8" firstHeaderRow="1" firstDataRow="3" firstDataCol="1" rowPageCount="1" colPageCount="1"/>
  <pivotFields count="16">
    <pivotField showAll="0"/>
    <pivotField showAll="0"/>
    <pivotField showAll="0"/>
    <pivotField showAll="0"/>
    <pivotField axis="axisCol" showAll="0">
      <items count="7">
        <item x="2"/>
        <item x="3"/>
        <item x="0"/>
        <item x="5"/>
        <item x="1"/>
        <item x="4"/>
        <item t="default"/>
      </items>
    </pivotField>
    <pivotField axis="axisRow" showAll="0">
      <items count="6">
        <item x="4"/>
        <item h="1" x="2"/>
        <item h="1" x="1"/>
        <item h="1" x="0"/>
        <item h="1" x="3"/>
        <item t="default"/>
      </items>
    </pivotField>
    <pivotField numFmtId="16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dataField="1" numFmtId="164" showAll="0"/>
    <pivotField axis="axisPage" showAll="0">
      <items count="4">
        <item x="2"/>
        <item x="1"/>
        <item x="0"/>
        <item t="default"/>
      </items>
    </pivotField>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2">
    <i>
      <x/>
    </i>
    <i t="grand">
      <x/>
    </i>
  </rowItems>
  <colFields count="2">
    <field x="4"/>
    <field x="-2"/>
  </colFields>
  <colItems count="8">
    <i>
      <x v="1"/>
      <x/>
    </i>
    <i r="1" i="1">
      <x v="1"/>
    </i>
    <i>
      <x v="2"/>
      <x/>
    </i>
    <i r="1" i="1">
      <x v="1"/>
    </i>
    <i>
      <x v="4"/>
      <x/>
    </i>
    <i r="1" i="1">
      <x v="1"/>
    </i>
    <i t="grand">
      <x/>
    </i>
    <i t="grand" i="1">
      <x/>
    </i>
  </colItems>
  <pageFields count="1">
    <pageField fld="10" hier="-1"/>
  </pageFields>
  <dataFields count="2">
    <dataField name="Total Revenue" fld="9" baseField="0" baseItem="0" numFmtId="164"/>
    <dataField name="Avg Revenue Per Order" fld="13" baseField="0" baseItem="0" numFmtId="166"/>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1"/>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1"/>
          </reference>
          <reference field="4" count="1" selected="0">
            <x v="1"/>
          </reference>
        </references>
      </pivotArea>
    </chartFormat>
    <chartFormat chart="0" format="4" series="1">
      <pivotArea type="data" outline="0" fieldPosition="0">
        <references count="2">
          <reference field="4294967294" count="1" selected="0">
            <x v="0"/>
          </reference>
          <reference field="4" count="1" selected="0">
            <x v="2"/>
          </reference>
        </references>
      </pivotArea>
    </chartFormat>
    <chartFormat chart="0" format="5" series="1">
      <pivotArea type="data" outline="0" fieldPosition="0">
        <references count="2">
          <reference field="4294967294" count="1" selected="0">
            <x v="1"/>
          </reference>
          <reference field="4" count="1" selected="0">
            <x v="2"/>
          </reference>
        </references>
      </pivotArea>
    </chartFormat>
    <chartFormat chart="0" format="6" series="1">
      <pivotArea type="data" outline="0" fieldPosition="0">
        <references count="2">
          <reference field="4294967294" count="1" selected="0">
            <x v="0"/>
          </reference>
          <reference field="4" count="1" selected="0">
            <x v="3"/>
          </reference>
        </references>
      </pivotArea>
    </chartFormat>
    <chartFormat chart="0" format="7" series="1">
      <pivotArea type="data" outline="0" fieldPosition="0">
        <references count="2">
          <reference field="4294967294" count="1" selected="0">
            <x v="1"/>
          </reference>
          <reference field="4" count="1" selected="0">
            <x v="3"/>
          </reference>
        </references>
      </pivotArea>
    </chartFormat>
    <chartFormat chart="0" format="8" series="1">
      <pivotArea type="data" outline="0" fieldPosition="0">
        <references count="2">
          <reference field="4294967294" count="1" selected="0">
            <x v="0"/>
          </reference>
          <reference field="4" count="1" selected="0">
            <x v="4"/>
          </reference>
        </references>
      </pivotArea>
    </chartFormat>
    <chartFormat chart="0" format="9" series="1">
      <pivotArea type="data" outline="0" fieldPosition="0">
        <references count="2">
          <reference field="4294967294" count="1" selected="0">
            <x v="1"/>
          </reference>
          <reference field="4" count="1" selected="0">
            <x v="4"/>
          </reference>
        </references>
      </pivotArea>
    </chartFormat>
    <chartFormat chart="0" format="10" series="1">
      <pivotArea type="data" outline="0" fieldPosition="0">
        <references count="2">
          <reference field="4294967294" count="1" selected="0">
            <x v="0"/>
          </reference>
          <reference field="4" count="1" selected="0">
            <x v="5"/>
          </reference>
        </references>
      </pivotArea>
    </chartFormat>
    <chartFormat chart="0" format="11" series="1">
      <pivotArea type="data" outline="0" fieldPosition="0">
        <references count="2">
          <reference field="4294967294" count="1" selected="0">
            <x v="1"/>
          </reference>
          <reference field="4" count="1" selected="0">
            <x v="5"/>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36874B2F-9B8F-4360-8BB4-09D476BD2569}" sourceName="Cuisine">
  <pivotTables>
    <pivotTable tabId="5" name="ptRevenueByCuisineZone"/>
  </pivotTables>
  <data>
    <tabular pivotCacheId="296196884">
      <items count="5">
        <i x="4" s="1"/>
        <i x="2"/>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xr10:uid="{D5ECDABF-DC29-4F3A-A870-B81FA386D59A}" cache="Slicer_Cuisine" caption="Cuis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FCDE7E-5703-43FB-9667-1CF0116B705F}" name="tblRestaurants" displayName="tblRestaurants" ref="A1:E17" totalsRowShown="0" headerRowDxfId="3">
  <autoFilter ref="A1:E17" xr:uid="{39FCDE7E-5703-43FB-9667-1CF0116B705F}"/>
  <tableColumns count="5">
    <tableColumn id="1" xr3:uid="{8D01A703-DAEB-40B7-8C41-2D4E0DD69D12}" name="RestaurantID"/>
    <tableColumn id="2" xr3:uid="{CD497976-A454-45EC-9BAF-96CA39FC654C}" name="RestaurantName"/>
    <tableColumn id="3" xr3:uid="{22229D38-1DE5-4FC5-9FF0-D749D5D2FF54}" name="Zone"/>
    <tableColumn id="4" xr3:uid="{DA38948D-2332-4909-95FD-172F474A23DA}" name="Category"/>
    <tableColumn id="5" xr3:uid="{686AA7BD-C7DC-4B60-A0B8-9A6A08FDB3B0}" name="Avg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2E50B8-A0FA-4080-A3B1-E4AEB4DDEA47}" name="tblOrders" displayName="tblOrders" ref="A1:M61" totalsRowShown="0" headerRowDxfId="2">
  <tableColumns count="13">
    <tableColumn id="1" xr3:uid="{6A2769D4-3354-4E2F-823F-6FB2D4534BDA}" name="OrderID"/>
    <tableColumn id="2" xr3:uid="{418C3589-92ED-42D7-A518-555EA26A9D91}" name="CustomerName"/>
    <tableColumn id="3" xr3:uid="{0D71243D-088F-44E8-97F9-4CA00816A030}" name="RestaurantID"/>
    <tableColumn id="4" xr3:uid="{20BE62D7-AFDF-4BD0-9BCC-EF2C31A1135C}" name="RestaurantName">
      <calculatedColumnFormula>_xlfn.XLOOKUP(C2, Restaurants!$A$2:$A$17, Restaurants!$B$2:$B$17, "Not Listed")</calculatedColumnFormula>
    </tableColumn>
    <tableColumn id="5" xr3:uid="{9AD961AB-7F07-4FB4-A485-FE4CF5601024}" name="Zone">
      <calculatedColumnFormula>IFERROR(INDEX(Restaurants!$C$2:$C$17, MATCH(C2, Restaurants!$A$2:$A$17, 0)), "Not Listed")</calculatedColumnFormula>
    </tableColumn>
    <tableColumn id="6" xr3:uid="{3464559D-19A3-4FD3-917D-C60E53E1BF03}" name="Cuisine"/>
    <tableColumn id="7" xr3:uid="{BE2FF86E-F984-4C93-A515-6DB7C0A28107}" name="OrderDate" dataDxfId="1"/>
    <tableColumn id="8" xr3:uid="{A324014A-6E4E-4A52-AEFE-6C04D3BA46B1}" name="DeliveryTime"/>
    <tableColumn id="9" xr3:uid="{DA7AC32E-FBF5-4415-8692-EEB9A0A80371}" name="Rating"/>
    <tableColumn id="10" xr3:uid="{6DD3E25F-958A-4397-8612-5C2F5858D25D}" name="Revenue" dataDxfId="0"/>
    <tableColumn id="11" xr3:uid="{46B5A968-2BEF-4641-A9DC-318F033788E6}" name="Status"/>
    <tableColumn id="12" xr3:uid="{A20B7F7A-0AEF-4B49-B373-13B1AEA01A31}" name="Orders"/>
    <tableColumn id="13" xr3:uid="{419BC905-BAA5-4E44-9EE4-9D82FC6AF695}" name="Outlier Flag">
      <calculatedColumnFormula>IF(OR(H2&lt;'Stats Summary'!$C$14, H2&gt;'Stats Summary'!$C$15), "Yes", "No")</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908F8E2E-EF06-4871-813E-823805E5C5B7}" sourceName="OrderDate">
  <pivotTables>
    <pivotTable tabId="5" name="ptOrderTrends"/>
  </pivotTables>
  <state minimalRefreshVersion="6" lastRefreshVersion="6" pivotCacheId="29619688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A1E8333-FAEB-471A-B1DB-51B00DC49D68}" cache="Timeline_OrderDate" caption="OrderDate" level="2" selectionLevel="2" scrollPosition="2024-06-06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DD1D-EA28-4CC1-A3BF-5A1602F76F72}">
  <dimension ref="A1:I27"/>
  <sheetViews>
    <sheetView tabSelected="1" workbookViewId="0">
      <selection activeCell="D13" sqref="D13"/>
    </sheetView>
  </sheetViews>
  <sheetFormatPr defaultRowHeight="14.4" x14ac:dyDescent="0.3"/>
  <cols>
    <col min="1" max="1" width="12.5546875" bestFit="1" customWidth="1"/>
    <col min="2" max="2" width="15.5546875" bestFit="1" customWidth="1"/>
    <col min="3" max="3" width="20.6640625" bestFit="1" customWidth="1"/>
    <col min="4" max="4" width="13.109375" bestFit="1" customWidth="1"/>
    <col min="5" max="5" width="20.6640625" bestFit="1" customWidth="1"/>
    <col min="6" max="6" width="13.109375" bestFit="1" customWidth="1"/>
    <col min="7" max="7" width="20.6640625" bestFit="1" customWidth="1"/>
    <col min="8" max="8" width="17.88671875" bestFit="1" customWidth="1"/>
    <col min="9" max="9" width="25.5546875" bestFit="1" customWidth="1"/>
    <col min="10" max="10" width="17.88671875" bestFit="1" customWidth="1"/>
    <col min="11" max="11" width="25.5546875" bestFit="1" customWidth="1"/>
    <col min="12" max="12" width="13.109375" bestFit="1" customWidth="1"/>
    <col min="13" max="13" width="20.6640625" bestFit="1" customWidth="1"/>
    <col min="14" max="14" width="17.88671875" bestFit="1" customWidth="1"/>
    <col min="15" max="15" width="25.5546875" bestFit="1" customWidth="1"/>
  </cols>
  <sheetData>
    <row r="1" spans="1:9" ht="21" x14ac:dyDescent="0.4">
      <c r="A1" s="17" t="s">
        <v>235</v>
      </c>
    </row>
    <row r="2" spans="1:9" x14ac:dyDescent="0.3">
      <c r="A2" s="18" t="s">
        <v>52</v>
      </c>
      <c r="B2" t="s">
        <v>239</v>
      </c>
    </row>
    <row r="4" spans="1:9" x14ac:dyDescent="0.3">
      <c r="B4" s="18" t="s">
        <v>238</v>
      </c>
    </row>
    <row r="5" spans="1:9" x14ac:dyDescent="0.3">
      <c r="B5" t="s">
        <v>20</v>
      </c>
      <c r="D5" t="s">
        <v>7</v>
      </c>
      <c r="F5" t="s">
        <v>11</v>
      </c>
      <c r="H5" t="s">
        <v>241</v>
      </c>
      <c r="I5" t="s">
        <v>242</v>
      </c>
    </row>
    <row r="6" spans="1:9" x14ac:dyDescent="0.3">
      <c r="A6" s="18" t="s">
        <v>236</v>
      </c>
      <c r="B6" t="s">
        <v>240</v>
      </c>
      <c r="C6" t="s">
        <v>243</v>
      </c>
      <c r="D6" t="s">
        <v>240</v>
      </c>
      <c r="E6" t="s">
        <v>243</v>
      </c>
      <c r="F6" t="s">
        <v>240</v>
      </c>
      <c r="G6" t="s">
        <v>243</v>
      </c>
    </row>
    <row r="7" spans="1:9" x14ac:dyDescent="0.3">
      <c r="A7" s="19" t="s">
        <v>71</v>
      </c>
      <c r="B7" s="2">
        <v>3280</v>
      </c>
      <c r="C7" s="5">
        <v>820</v>
      </c>
      <c r="D7" s="2">
        <v>3350</v>
      </c>
      <c r="E7" s="5">
        <v>837.5</v>
      </c>
      <c r="F7" s="2">
        <v>3490</v>
      </c>
      <c r="G7" s="5">
        <v>872.5</v>
      </c>
      <c r="H7" s="2">
        <v>10120</v>
      </c>
      <c r="I7" s="5">
        <v>843.33333333333337</v>
      </c>
    </row>
    <row r="8" spans="1:9" x14ac:dyDescent="0.3">
      <c r="A8" s="19" t="s">
        <v>237</v>
      </c>
      <c r="B8" s="2">
        <v>3280</v>
      </c>
      <c r="C8" s="5">
        <v>820</v>
      </c>
      <c r="D8" s="2">
        <v>3350</v>
      </c>
      <c r="E8" s="5">
        <v>837.5</v>
      </c>
      <c r="F8" s="2">
        <v>3490</v>
      </c>
      <c r="G8" s="5">
        <v>872.5</v>
      </c>
      <c r="H8" s="2">
        <v>10120</v>
      </c>
      <c r="I8" s="5">
        <v>843.33333333333337</v>
      </c>
    </row>
    <row r="20" spans="1:2" x14ac:dyDescent="0.3">
      <c r="A20" s="18" t="s">
        <v>236</v>
      </c>
      <c r="B20" t="s">
        <v>244</v>
      </c>
    </row>
    <row r="21" spans="1:2" x14ac:dyDescent="0.3">
      <c r="A21" s="19" t="s">
        <v>245</v>
      </c>
      <c r="B21" s="20">
        <v>31</v>
      </c>
    </row>
    <row r="22" spans="1:2" x14ac:dyDescent="0.3">
      <c r="A22" s="21" t="s">
        <v>246</v>
      </c>
      <c r="B22" s="20">
        <v>9</v>
      </c>
    </row>
    <row r="23" spans="1:2" x14ac:dyDescent="0.3">
      <c r="A23" s="21" t="s">
        <v>247</v>
      </c>
      <c r="B23" s="20">
        <v>10</v>
      </c>
    </row>
    <row r="24" spans="1:2" x14ac:dyDescent="0.3">
      <c r="A24" s="21" t="s">
        <v>248</v>
      </c>
      <c r="B24" s="20">
        <v>12</v>
      </c>
    </row>
    <row r="25" spans="1:2" x14ac:dyDescent="0.3">
      <c r="A25" s="19" t="s">
        <v>249</v>
      </c>
      <c r="B25" s="20">
        <v>29</v>
      </c>
    </row>
    <row r="26" spans="1:2" x14ac:dyDescent="0.3">
      <c r="A26" s="21" t="s">
        <v>250</v>
      </c>
      <c r="B26" s="20">
        <v>29</v>
      </c>
    </row>
    <row r="27" spans="1:2" x14ac:dyDescent="0.3">
      <c r="A27" s="19" t="s">
        <v>237</v>
      </c>
      <c r="B27" s="20">
        <v>60</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8AAB-D482-4E2B-8449-E4F67C5DE5B1}">
  <dimension ref="A1:D16"/>
  <sheetViews>
    <sheetView workbookViewId="0"/>
  </sheetViews>
  <sheetFormatPr defaultRowHeight="14.4" x14ac:dyDescent="0.3"/>
  <cols>
    <col min="1" max="1" width="48.77734375" bestFit="1" customWidth="1"/>
    <col min="2" max="2" width="17.77734375" bestFit="1" customWidth="1"/>
    <col min="3" max="3" width="15.109375" bestFit="1" customWidth="1"/>
    <col min="4" max="4" width="25.88671875" bestFit="1" customWidth="1"/>
  </cols>
  <sheetData>
    <row r="1" spans="1:4" ht="18" x14ac:dyDescent="0.35">
      <c r="A1" s="9" t="s">
        <v>186</v>
      </c>
    </row>
    <row r="3" spans="1:4" x14ac:dyDescent="0.3">
      <c r="A3" s="10" t="s">
        <v>187</v>
      </c>
      <c r="B3" s="10" t="s">
        <v>188</v>
      </c>
      <c r="C3" s="10" t="s">
        <v>189</v>
      </c>
      <c r="D3" s="10" t="s">
        <v>190</v>
      </c>
    </row>
    <row r="4" spans="1:4" x14ac:dyDescent="0.3">
      <c r="A4" s="7" t="s">
        <v>191</v>
      </c>
      <c r="B4" s="7" t="s">
        <v>192</v>
      </c>
      <c r="C4" s="11">
        <f>AVERAGE(tblOrders[DeliveryTime])</f>
        <v>35.049999999999997</v>
      </c>
      <c r="D4" s="7" t="s">
        <v>193</v>
      </c>
    </row>
    <row r="5" spans="1:4" x14ac:dyDescent="0.3">
      <c r="A5" s="7" t="s">
        <v>194</v>
      </c>
      <c r="B5" s="7" t="s">
        <v>195</v>
      </c>
      <c r="C5" s="11">
        <f>MEDIAN(tblOrders[DeliveryTime])</f>
        <v>32</v>
      </c>
      <c r="D5" s="7" t="s">
        <v>196</v>
      </c>
    </row>
    <row r="6" spans="1:4" x14ac:dyDescent="0.3">
      <c r="A6" s="7" t="s">
        <v>197</v>
      </c>
      <c r="B6" s="7" t="s">
        <v>198</v>
      </c>
      <c r="C6" s="11">
        <f>_xlfn.MODE.SNGL(tblOrders[DeliveryTime])</f>
        <v>29</v>
      </c>
      <c r="D6" s="7" t="s">
        <v>199</v>
      </c>
    </row>
    <row r="7" spans="1:4" x14ac:dyDescent="0.3">
      <c r="A7" s="7" t="s">
        <v>200</v>
      </c>
      <c r="B7" s="7" t="s">
        <v>201</v>
      </c>
      <c r="C7" s="11">
        <f>_xlfn.STDEV.S(tblOrders[DeliveryTime])</f>
        <v>13.955650092042488</v>
      </c>
      <c r="D7" s="7" t="s">
        <v>202</v>
      </c>
    </row>
    <row r="8" spans="1:4" x14ac:dyDescent="0.3">
      <c r="A8" s="7" t="s">
        <v>203</v>
      </c>
      <c r="B8" s="7" t="s">
        <v>204</v>
      </c>
      <c r="C8" s="11">
        <f>_xlfn.VAR.S(tblOrders[DeliveryTime])</f>
        <v>194.76016949152552</v>
      </c>
      <c r="D8" s="7" t="s">
        <v>205</v>
      </c>
    </row>
    <row r="9" spans="1:4" x14ac:dyDescent="0.3">
      <c r="A9" s="7" t="s">
        <v>206</v>
      </c>
      <c r="B9" s="7" t="s">
        <v>207</v>
      </c>
      <c r="C9" s="11">
        <f>MIN(tblOrders[DeliveryTime])</f>
        <v>18</v>
      </c>
      <c r="D9" s="7" t="s">
        <v>208</v>
      </c>
    </row>
    <row r="10" spans="1:4" x14ac:dyDescent="0.3">
      <c r="A10" s="7" t="s">
        <v>209</v>
      </c>
      <c r="B10" s="7" t="s">
        <v>210</v>
      </c>
      <c r="C10" s="11">
        <f>MAX(tblOrders[DeliveryTime])</f>
        <v>88</v>
      </c>
      <c r="D10" s="7" t="s">
        <v>211</v>
      </c>
    </row>
    <row r="11" spans="1:4" x14ac:dyDescent="0.3">
      <c r="A11" s="7" t="s">
        <v>212</v>
      </c>
      <c r="B11" s="7" t="s">
        <v>213</v>
      </c>
      <c r="C11" s="11">
        <f>_xlfn.QUARTILE.INC(tblOrders[DeliveryTime], 1)</f>
        <v>26</v>
      </c>
      <c r="D11" s="7" t="s">
        <v>214</v>
      </c>
    </row>
    <row r="12" spans="1:4" x14ac:dyDescent="0.3">
      <c r="A12" s="7" t="s">
        <v>215</v>
      </c>
      <c r="B12" s="7" t="s">
        <v>216</v>
      </c>
      <c r="C12" s="11">
        <f>_xlfn.QUARTILE.INC(tblOrders[DeliveryTime], 3)</f>
        <v>39.25</v>
      </c>
      <c r="D12" s="7" t="s">
        <v>217</v>
      </c>
    </row>
    <row r="13" spans="1:4" x14ac:dyDescent="0.3">
      <c r="A13" s="6" t="s">
        <v>218</v>
      </c>
      <c r="B13" s="7" t="s">
        <v>219</v>
      </c>
      <c r="C13" s="12">
        <f>C12-C11</f>
        <v>13.25</v>
      </c>
      <c r="D13" s="7" t="s">
        <v>220</v>
      </c>
    </row>
    <row r="14" spans="1:4" x14ac:dyDescent="0.3">
      <c r="A14" s="6" t="s">
        <v>221</v>
      </c>
      <c r="B14" s="7" t="s">
        <v>222</v>
      </c>
      <c r="C14" s="12">
        <f>C11-(1.5*C13)</f>
        <v>6.125</v>
      </c>
      <c r="D14" s="7" t="s">
        <v>223</v>
      </c>
    </row>
    <row r="15" spans="1:4" x14ac:dyDescent="0.3">
      <c r="A15" s="6" t="s">
        <v>224</v>
      </c>
      <c r="B15" s="7" t="s">
        <v>225</v>
      </c>
      <c r="C15" s="12">
        <f>C12+(1.5*C13)</f>
        <v>59.125</v>
      </c>
      <c r="D15" s="7" t="s">
        <v>226</v>
      </c>
    </row>
    <row r="16" spans="1:4" x14ac:dyDescent="0.3">
      <c r="A16" s="7" t="s">
        <v>227</v>
      </c>
      <c r="B16" s="7" t="s">
        <v>228</v>
      </c>
      <c r="C16" s="13">
        <f>COUNTIF(tblOrders[Outlier Flag], "Yes")</f>
        <v>4</v>
      </c>
      <c r="D16" s="7" t="s">
        <v>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2A4-8557-46BA-9ADE-FC134EAC90A0}">
  <dimension ref="A1:M38"/>
  <sheetViews>
    <sheetView workbookViewId="0"/>
  </sheetViews>
  <sheetFormatPr defaultRowHeight="14.4" x14ac:dyDescent="0.3"/>
  <cols>
    <col min="1" max="1" width="74.5546875" bestFit="1" customWidth="1"/>
    <col min="2" max="2" width="14.44140625" bestFit="1" customWidth="1"/>
    <col min="3" max="3" width="11.88671875" bestFit="1" customWidth="1"/>
    <col min="4" max="4" width="15.6640625" bestFit="1" customWidth="1"/>
    <col min="5" max="5" width="6.88671875" bestFit="1" customWidth="1"/>
    <col min="6" max="6" width="11.21875" bestFit="1" customWidth="1"/>
    <col min="7" max="7" width="10.33203125" bestFit="1" customWidth="1"/>
    <col min="8" max="8" width="11.88671875" bestFit="1" customWidth="1"/>
    <col min="9" max="9" width="6.33203125" bestFit="1" customWidth="1"/>
    <col min="10" max="10" width="8.33203125" bestFit="1" customWidth="1"/>
    <col min="11" max="11" width="8.6640625" bestFit="1" customWidth="1"/>
    <col min="12" max="12" width="6.5546875" bestFit="1" customWidth="1"/>
    <col min="13" max="13" width="10.44140625" bestFit="1" customWidth="1"/>
  </cols>
  <sheetData>
    <row r="1" spans="1:13" x14ac:dyDescent="0.3">
      <c r="A1" s="1" t="s">
        <v>230</v>
      </c>
    </row>
    <row r="2" spans="1:13" x14ac:dyDescent="0.3">
      <c r="A2" s="14" t="s">
        <v>52</v>
      </c>
      <c r="B2" s="14" t="s">
        <v>51</v>
      </c>
      <c r="C2" s="14" t="s">
        <v>50</v>
      </c>
    </row>
    <row r="3" spans="1:13" x14ac:dyDescent="0.3">
      <c r="A3" s="15" t="s">
        <v>58</v>
      </c>
      <c r="B3" s="15" t="s">
        <v>231</v>
      </c>
      <c r="C3" s="15" t="s">
        <v>232</v>
      </c>
    </row>
    <row r="5" spans="1:13" x14ac:dyDescent="0.3">
      <c r="A5" s="1" t="s">
        <v>233</v>
      </c>
    </row>
    <row r="6" spans="1:13" x14ac:dyDescent="0.3">
      <c r="A6" s="16" t="s">
        <v>45</v>
      </c>
      <c r="B6" s="16" t="s">
        <v>46</v>
      </c>
      <c r="C6" s="16" t="s">
        <v>0</v>
      </c>
      <c r="D6" s="16" t="s">
        <v>1</v>
      </c>
      <c r="E6" s="16" t="s">
        <v>2</v>
      </c>
      <c r="F6" s="16" t="s">
        <v>47</v>
      </c>
      <c r="G6" s="16" t="s">
        <v>48</v>
      </c>
      <c r="H6" s="16" t="s">
        <v>49</v>
      </c>
      <c r="I6" s="16" t="s">
        <v>50</v>
      </c>
      <c r="J6" s="16" t="s">
        <v>51</v>
      </c>
      <c r="K6" s="16" t="s">
        <v>52</v>
      </c>
      <c r="L6" s="16" t="s">
        <v>53</v>
      </c>
      <c r="M6" s="16" t="s">
        <v>54</v>
      </c>
    </row>
    <row r="7" spans="1:13" x14ac:dyDescent="0.3">
      <c r="A7" t="s">
        <v>55</v>
      </c>
      <c r="B7" t="s">
        <v>56</v>
      </c>
      <c r="C7" t="s">
        <v>5</v>
      </c>
      <c r="D7" t="s">
        <v>6</v>
      </c>
      <c r="E7" t="s">
        <v>7</v>
      </c>
      <c r="F7" t="s">
        <v>57</v>
      </c>
      <c r="G7" s="3">
        <v>45296</v>
      </c>
      <c r="H7">
        <v>25</v>
      </c>
      <c r="I7">
        <v>5</v>
      </c>
      <c r="J7" s="2">
        <v>850</v>
      </c>
      <c r="K7" t="s">
        <v>58</v>
      </c>
      <c r="L7">
        <v>1</v>
      </c>
      <c r="M7" t="s">
        <v>234</v>
      </c>
    </row>
    <row r="8" spans="1:13" x14ac:dyDescent="0.3">
      <c r="A8" t="s">
        <v>59</v>
      </c>
      <c r="B8" t="s">
        <v>60</v>
      </c>
      <c r="C8" t="s">
        <v>9</v>
      </c>
      <c r="D8" t="s">
        <v>10</v>
      </c>
      <c r="E8" t="s">
        <v>11</v>
      </c>
      <c r="F8" t="s">
        <v>61</v>
      </c>
      <c r="G8" s="3">
        <v>45299</v>
      </c>
      <c r="H8">
        <v>32</v>
      </c>
      <c r="I8">
        <v>4</v>
      </c>
      <c r="J8" s="2">
        <v>620</v>
      </c>
      <c r="K8" t="s">
        <v>58</v>
      </c>
      <c r="L8">
        <v>1</v>
      </c>
      <c r="M8" t="s">
        <v>234</v>
      </c>
    </row>
    <row r="9" spans="1:13" x14ac:dyDescent="0.3">
      <c r="A9" t="s">
        <v>69</v>
      </c>
      <c r="B9" t="s">
        <v>70</v>
      </c>
      <c r="C9" t="s">
        <v>18</v>
      </c>
      <c r="D9" t="s">
        <v>19</v>
      </c>
      <c r="E9" t="s">
        <v>20</v>
      </c>
      <c r="F9" t="s">
        <v>71</v>
      </c>
      <c r="G9" s="3">
        <v>45309</v>
      </c>
      <c r="H9">
        <v>38</v>
      </c>
      <c r="I9">
        <v>4</v>
      </c>
      <c r="J9" s="2">
        <v>780</v>
      </c>
      <c r="K9" t="s">
        <v>58</v>
      </c>
      <c r="L9">
        <v>1</v>
      </c>
      <c r="M9" t="s">
        <v>234</v>
      </c>
    </row>
    <row r="10" spans="1:13" x14ac:dyDescent="0.3">
      <c r="A10" t="s">
        <v>72</v>
      </c>
      <c r="B10" t="s">
        <v>73</v>
      </c>
      <c r="C10" t="s">
        <v>22</v>
      </c>
      <c r="D10" t="s">
        <v>23</v>
      </c>
      <c r="E10" t="s">
        <v>7</v>
      </c>
      <c r="F10" t="s">
        <v>57</v>
      </c>
      <c r="G10" s="3">
        <v>45313</v>
      </c>
      <c r="H10">
        <v>28</v>
      </c>
      <c r="I10">
        <v>4</v>
      </c>
      <c r="J10" s="2">
        <v>540</v>
      </c>
      <c r="K10" t="s">
        <v>58</v>
      </c>
      <c r="L10">
        <v>1</v>
      </c>
      <c r="M10" t="s">
        <v>234</v>
      </c>
    </row>
    <row r="11" spans="1:13" x14ac:dyDescent="0.3">
      <c r="A11" t="s">
        <v>82</v>
      </c>
      <c r="B11" t="s">
        <v>83</v>
      </c>
      <c r="C11" t="s">
        <v>33</v>
      </c>
      <c r="D11" t="s">
        <v>34</v>
      </c>
      <c r="E11" t="s">
        <v>14</v>
      </c>
      <c r="F11" t="s">
        <v>57</v>
      </c>
      <c r="G11" s="3">
        <v>45327</v>
      </c>
      <c r="H11">
        <v>30</v>
      </c>
      <c r="I11">
        <v>4</v>
      </c>
      <c r="J11" s="2">
        <v>690</v>
      </c>
      <c r="K11" t="s">
        <v>58</v>
      </c>
      <c r="L11">
        <v>1</v>
      </c>
      <c r="M11" t="s">
        <v>234</v>
      </c>
    </row>
    <row r="12" spans="1:13" x14ac:dyDescent="0.3">
      <c r="A12" t="s">
        <v>84</v>
      </c>
      <c r="B12" t="s">
        <v>85</v>
      </c>
      <c r="C12" t="s">
        <v>35</v>
      </c>
      <c r="D12" t="s">
        <v>36</v>
      </c>
      <c r="E12" t="s">
        <v>20</v>
      </c>
      <c r="F12" t="s">
        <v>61</v>
      </c>
      <c r="G12" s="3">
        <v>45330</v>
      </c>
      <c r="H12">
        <v>27</v>
      </c>
      <c r="I12">
        <v>5</v>
      </c>
      <c r="J12" s="2">
        <v>880</v>
      </c>
      <c r="K12" t="s">
        <v>58</v>
      </c>
      <c r="L12">
        <v>1</v>
      </c>
      <c r="M12" t="s">
        <v>234</v>
      </c>
    </row>
    <row r="13" spans="1:13" x14ac:dyDescent="0.3">
      <c r="A13" t="s">
        <v>90</v>
      </c>
      <c r="B13" t="s">
        <v>91</v>
      </c>
      <c r="C13" t="s">
        <v>41</v>
      </c>
      <c r="D13" t="s">
        <v>42</v>
      </c>
      <c r="E13" t="s">
        <v>11</v>
      </c>
      <c r="F13" t="s">
        <v>71</v>
      </c>
      <c r="G13" s="3">
        <v>45339</v>
      </c>
      <c r="H13">
        <v>36</v>
      </c>
      <c r="I13">
        <v>5</v>
      </c>
      <c r="J13" s="2">
        <v>750</v>
      </c>
      <c r="K13" t="s">
        <v>58</v>
      </c>
      <c r="L13">
        <v>1</v>
      </c>
      <c r="M13" t="s">
        <v>234</v>
      </c>
    </row>
    <row r="14" spans="1:13" x14ac:dyDescent="0.3">
      <c r="A14" t="s">
        <v>92</v>
      </c>
      <c r="B14" t="s">
        <v>93</v>
      </c>
      <c r="C14" t="s">
        <v>5</v>
      </c>
      <c r="D14" t="s">
        <v>6</v>
      </c>
      <c r="E14" t="s">
        <v>7</v>
      </c>
      <c r="F14" t="s">
        <v>57</v>
      </c>
      <c r="G14" s="3">
        <v>45342</v>
      </c>
      <c r="H14">
        <v>29</v>
      </c>
      <c r="I14">
        <v>4</v>
      </c>
      <c r="J14" s="2">
        <v>580</v>
      </c>
      <c r="K14" t="s">
        <v>58</v>
      </c>
      <c r="L14">
        <v>1</v>
      </c>
      <c r="M14" t="s">
        <v>234</v>
      </c>
    </row>
    <row r="15" spans="1:13" x14ac:dyDescent="0.3">
      <c r="A15" t="s">
        <v>97</v>
      </c>
      <c r="B15" t="s">
        <v>98</v>
      </c>
      <c r="C15" t="s">
        <v>12</v>
      </c>
      <c r="D15" t="s">
        <v>13</v>
      </c>
      <c r="E15" t="s">
        <v>14</v>
      </c>
      <c r="F15" t="s">
        <v>64</v>
      </c>
      <c r="G15" s="3">
        <v>45348</v>
      </c>
      <c r="H15">
        <v>26</v>
      </c>
      <c r="I15">
        <v>4</v>
      </c>
      <c r="J15" s="2">
        <v>520</v>
      </c>
      <c r="K15" t="s">
        <v>58</v>
      </c>
      <c r="L15">
        <v>1</v>
      </c>
      <c r="M15" t="s">
        <v>234</v>
      </c>
    </row>
    <row r="16" spans="1:13" x14ac:dyDescent="0.3">
      <c r="A16" t="s">
        <v>101</v>
      </c>
      <c r="B16" t="s">
        <v>102</v>
      </c>
      <c r="C16" t="s">
        <v>18</v>
      </c>
      <c r="D16" t="s">
        <v>19</v>
      </c>
      <c r="E16" t="s">
        <v>20</v>
      </c>
      <c r="F16" t="s">
        <v>71</v>
      </c>
      <c r="G16" s="3">
        <v>45353</v>
      </c>
      <c r="H16">
        <v>40</v>
      </c>
      <c r="I16">
        <v>4</v>
      </c>
      <c r="J16" s="2">
        <v>920</v>
      </c>
      <c r="K16" t="s">
        <v>58</v>
      </c>
      <c r="L16">
        <v>1</v>
      </c>
      <c r="M16" t="s">
        <v>234</v>
      </c>
    </row>
    <row r="17" spans="1:13" x14ac:dyDescent="0.3">
      <c r="A17" t="s">
        <v>105</v>
      </c>
      <c r="B17" t="s">
        <v>106</v>
      </c>
      <c r="C17" t="s">
        <v>24</v>
      </c>
      <c r="D17" t="s">
        <v>25</v>
      </c>
      <c r="E17" t="s">
        <v>26</v>
      </c>
      <c r="F17" t="s">
        <v>61</v>
      </c>
      <c r="G17" s="3">
        <v>45358</v>
      </c>
      <c r="H17">
        <v>31</v>
      </c>
      <c r="I17">
        <v>5</v>
      </c>
      <c r="J17" s="2">
        <v>710</v>
      </c>
      <c r="K17" t="s">
        <v>58</v>
      </c>
      <c r="L17">
        <v>1</v>
      </c>
      <c r="M17" t="s">
        <v>234</v>
      </c>
    </row>
    <row r="18" spans="1:13" x14ac:dyDescent="0.3">
      <c r="A18" t="s">
        <v>112</v>
      </c>
      <c r="B18" t="s">
        <v>113</v>
      </c>
      <c r="C18" t="s">
        <v>31</v>
      </c>
      <c r="D18" t="s">
        <v>32</v>
      </c>
      <c r="E18" t="s">
        <v>7</v>
      </c>
      <c r="F18" t="s">
        <v>71</v>
      </c>
      <c r="G18" s="3">
        <v>45366</v>
      </c>
      <c r="H18">
        <v>37</v>
      </c>
      <c r="I18">
        <v>4</v>
      </c>
      <c r="J18" s="2">
        <v>840</v>
      </c>
      <c r="K18" t="s">
        <v>58</v>
      </c>
      <c r="L18">
        <v>1</v>
      </c>
      <c r="M18" t="s">
        <v>234</v>
      </c>
    </row>
    <row r="19" spans="1:13" x14ac:dyDescent="0.3">
      <c r="A19" t="s">
        <v>114</v>
      </c>
      <c r="B19" t="s">
        <v>115</v>
      </c>
      <c r="C19" t="s">
        <v>33</v>
      </c>
      <c r="D19" t="s">
        <v>34</v>
      </c>
      <c r="E19" t="s">
        <v>14</v>
      </c>
      <c r="F19" t="s">
        <v>57</v>
      </c>
      <c r="G19" s="3">
        <v>45369</v>
      </c>
      <c r="H19">
        <v>29</v>
      </c>
      <c r="I19">
        <v>4</v>
      </c>
      <c r="J19" s="2">
        <v>620</v>
      </c>
      <c r="K19" t="s">
        <v>58</v>
      </c>
      <c r="L19">
        <v>1</v>
      </c>
      <c r="M19" t="s">
        <v>234</v>
      </c>
    </row>
    <row r="20" spans="1:13" x14ac:dyDescent="0.3">
      <c r="A20" t="s">
        <v>116</v>
      </c>
      <c r="B20" t="s">
        <v>117</v>
      </c>
      <c r="C20" t="s">
        <v>35</v>
      </c>
      <c r="D20" t="s">
        <v>36</v>
      </c>
      <c r="E20" t="s">
        <v>20</v>
      </c>
      <c r="F20" t="s">
        <v>61</v>
      </c>
      <c r="G20" s="3">
        <v>45371</v>
      </c>
      <c r="H20">
        <v>34</v>
      </c>
      <c r="I20">
        <v>4</v>
      </c>
      <c r="J20" s="2">
        <v>760</v>
      </c>
      <c r="K20" t="s">
        <v>58</v>
      </c>
      <c r="L20">
        <v>1</v>
      </c>
      <c r="M20" t="s">
        <v>234</v>
      </c>
    </row>
    <row r="21" spans="1:13" x14ac:dyDescent="0.3">
      <c r="A21" t="s">
        <v>122</v>
      </c>
      <c r="B21" t="s">
        <v>123</v>
      </c>
      <c r="C21" t="s">
        <v>41</v>
      </c>
      <c r="D21" t="s">
        <v>42</v>
      </c>
      <c r="E21" t="s">
        <v>11</v>
      </c>
      <c r="F21" t="s">
        <v>71</v>
      </c>
      <c r="G21" s="3">
        <v>45379</v>
      </c>
      <c r="H21">
        <v>39</v>
      </c>
      <c r="I21">
        <v>5</v>
      </c>
      <c r="J21" s="2">
        <v>890</v>
      </c>
      <c r="K21" t="s">
        <v>58</v>
      </c>
      <c r="L21">
        <v>1</v>
      </c>
      <c r="M21" t="s">
        <v>234</v>
      </c>
    </row>
    <row r="22" spans="1:13" x14ac:dyDescent="0.3">
      <c r="A22" t="s">
        <v>124</v>
      </c>
      <c r="B22" t="s">
        <v>125</v>
      </c>
      <c r="C22" t="s">
        <v>5</v>
      </c>
      <c r="D22" t="s">
        <v>6</v>
      </c>
      <c r="E22" t="s">
        <v>7</v>
      </c>
      <c r="F22" t="s">
        <v>57</v>
      </c>
      <c r="G22" s="3">
        <v>45381</v>
      </c>
      <c r="H22">
        <v>26</v>
      </c>
      <c r="I22">
        <v>5</v>
      </c>
      <c r="J22" s="2">
        <v>740</v>
      </c>
      <c r="K22" t="s">
        <v>58</v>
      </c>
      <c r="L22">
        <v>1</v>
      </c>
      <c r="M22" t="s">
        <v>234</v>
      </c>
    </row>
    <row r="23" spans="1:13" x14ac:dyDescent="0.3">
      <c r="A23" t="s">
        <v>126</v>
      </c>
      <c r="B23" t="s">
        <v>127</v>
      </c>
      <c r="C23" t="s">
        <v>9</v>
      </c>
      <c r="D23" t="s">
        <v>10</v>
      </c>
      <c r="E23" t="s">
        <v>11</v>
      </c>
      <c r="F23" t="s">
        <v>61</v>
      </c>
      <c r="G23" s="3">
        <v>45384</v>
      </c>
      <c r="H23">
        <v>30</v>
      </c>
      <c r="I23">
        <v>4</v>
      </c>
      <c r="J23" s="2">
        <v>670</v>
      </c>
      <c r="K23" t="s">
        <v>58</v>
      </c>
      <c r="L23">
        <v>1</v>
      </c>
      <c r="M23" t="s">
        <v>234</v>
      </c>
    </row>
    <row r="24" spans="1:13" x14ac:dyDescent="0.3">
      <c r="A24" t="s">
        <v>132</v>
      </c>
      <c r="B24" t="s">
        <v>133</v>
      </c>
      <c r="C24" t="s">
        <v>18</v>
      </c>
      <c r="D24" t="s">
        <v>19</v>
      </c>
      <c r="E24" t="s">
        <v>20</v>
      </c>
      <c r="F24" t="s">
        <v>71</v>
      </c>
      <c r="G24" s="3">
        <v>45390</v>
      </c>
      <c r="H24">
        <v>41</v>
      </c>
      <c r="I24">
        <v>4</v>
      </c>
      <c r="J24" s="2">
        <v>810</v>
      </c>
      <c r="K24" t="s">
        <v>58</v>
      </c>
      <c r="L24">
        <v>1</v>
      </c>
      <c r="M24" t="s">
        <v>234</v>
      </c>
    </row>
    <row r="25" spans="1:13" x14ac:dyDescent="0.3">
      <c r="A25" t="s">
        <v>134</v>
      </c>
      <c r="B25" t="s">
        <v>135</v>
      </c>
      <c r="C25" t="s">
        <v>22</v>
      </c>
      <c r="D25" t="s">
        <v>23</v>
      </c>
      <c r="E25" t="s">
        <v>7</v>
      </c>
      <c r="F25" t="s">
        <v>57</v>
      </c>
      <c r="G25" s="3">
        <v>45392</v>
      </c>
      <c r="H25">
        <v>32</v>
      </c>
      <c r="I25">
        <v>4</v>
      </c>
      <c r="J25" s="2">
        <v>590</v>
      </c>
      <c r="K25" t="s">
        <v>58</v>
      </c>
      <c r="L25">
        <v>1</v>
      </c>
      <c r="M25" t="s">
        <v>234</v>
      </c>
    </row>
    <row r="26" spans="1:13" x14ac:dyDescent="0.3">
      <c r="A26" t="s">
        <v>136</v>
      </c>
      <c r="B26" t="s">
        <v>137</v>
      </c>
      <c r="C26" t="s">
        <v>24</v>
      </c>
      <c r="D26" t="s">
        <v>25</v>
      </c>
      <c r="E26" t="s">
        <v>26</v>
      </c>
      <c r="F26" t="s">
        <v>61</v>
      </c>
      <c r="G26" s="3">
        <v>45394</v>
      </c>
      <c r="H26">
        <v>28</v>
      </c>
      <c r="I26">
        <v>5</v>
      </c>
      <c r="J26" s="2">
        <v>930</v>
      </c>
      <c r="K26" t="s">
        <v>58</v>
      </c>
      <c r="L26">
        <v>1</v>
      </c>
      <c r="M26" t="s">
        <v>234</v>
      </c>
    </row>
    <row r="27" spans="1:13" x14ac:dyDescent="0.3">
      <c r="A27" t="s">
        <v>144</v>
      </c>
      <c r="B27" t="s">
        <v>145</v>
      </c>
      <c r="C27" t="s">
        <v>33</v>
      </c>
      <c r="D27" t="s">
        <v>34</v>
      </c>
      <c r="E27" t="s">
        <v>14</v>
      </c>
      <c r="F27" t="s">
        <v>57</v>
      </c>
      <c r="G27" s="3">
        <v>45402</v>
      </c>
      <c r="H27">
        <v>27</v>
      </c>
      <c r="I27">
        <v>5</v>
      </c>
      <c r="J27" s="2">
        <v>680</v>
      </c>
      <c r="K27" t="s">
        <v>58</v>
      </c>
      <c r="L27">
        <v>1</v>
      </c>
      <c r="M27" t="s">
        <v>234</v>
      </c>
    </row>
    <row r="28" spans="1:13" x14ac:dyDescent="0.3">
      <c r="A28" t="s">
        <v>146</v>
      </c>
      <c r="B28" t="s">
        <v>147</v>
      </c>
      <c r="C28" t="s">
        <v>35</v>
      </c>
      <c r="D28" t="s">
        <v>36</v>
      </c>
      <c r="E28" t="s">
        <v>20</v>
      </c>
      <c r="F28" t="s">
        <v>61</v>
      </c>
      <c r="G28" s="3">
        <v>45404</v>
      </c>
      <c r="H28">
        <v>33</v>
      </c>
      <c r="I28">
        <v>4</v>
      </c>
      <c r="J28" s="2">
        <v>720</v>
      </c>
      <c r="K28" t="s">
        <v>58</v>
      </c>
      <c r="L28">
        <v>1</v>
      </c>
      <c r="M28" t="s">
        <v>234</v>
      </c>
    </row>
    <row r="29" spans="1:13" x14ac:dyDescent="0.3">
      <c r="A29" t="s">
        <v>152</v>
      </c>
      <c r="B29" t="s">
        <v>153</v>
      </c>
      <c r="C29" t="s">
        <v>41</v>
      </c>
      <c r="D29" t="s">
        <v>42</v>
      </c>
      <c r="E29" t="s">
        <v>11</v>
      </c>
      <c r="F29" t="s">
        <v>71</v>
      </c>
      <c r="G29" s="3">
        <v>45407</v>
      </c>
      <c r="H29">
        <v>38</v>
      </c>
      <c r="I29">
        <v>5</v>
      </c>
      <c r="J29" s="2">
        <v>910</v>
      </c>
      <c r="K29" t="s">
        <v>58</v>
      </c>
      <c r="L29">
        <v>1</v>
      </c>
      <c r="M29" t="s">
        <v>234</v>
      </c>
    </row>
    <row r="30" spans="1:13" x14ac:dyDescent="0.3">
      <c r="A30" t="s">
        <v>154</v>
      </c>
      <c r="B30" t="s">
        <v>155</v>
      </c>
      <c r="C30" t="s">
        <v>5</v>
      </c>
      <c r="D30" t="s">
        <v>6</v>
      </c>
      <c r="E30" t="s">
        <v>7</v>
      </c>
      <c r="F30" t="s">
        <v>57</v>
      </c>
      <c r="G30" s="3">
        <v>45408</v>
      </c>
      <c r="H30">
        <v>24</v>
      </c>
      <c r="I30">
        <v>5</v>
      </c>
      <c r="J30" s="2">
        <v>790</v>
      </c>
      <c r="K30" t="s">
        <v>58</v>
      </c>
      <c r="L30">
        <v>1</v>
      </c>
      <c r="M30" t="s">
        <v>234</v>
      </c>
    </row>
    <row r="31" spans="1:13" x14ac:dyDescent="0.3">
      <c r="A31" t="s">
        <v>156</v>
      </c>
      <c r="B31" t="s">
        <v>157</v>
      </c>
      <c r="C31" t="s">
        <v>9</v>
      </c>
      <c r="D31" t="s">
        <v>10</v>
      </c>
      <c r="E31" t="s">
        <v>11</v>
      </c>
      <c r="F31" t="s">
        <v>61</v>
      </c>
      <c r="G31" s="3">
        <v>45409</v>
      </c>
      <c r="H31">
        <v>35</v>
      </c>
      <c r="I31">
        <v>4</v>
      </c>
      <c r="J31" s="2">
        <v>630</v>
      </c>
      <c r="K31" t="s">
        <v>58</v>
      </c>
      <c r="L31">
        <v>1</v>
      </c>
      <c r="M31" t="s">
        <v>234</v>
      </c>
    </row>
    <row r="32" spans="1:13" x14ac:dyDescent="0.3">
      <c r="A32" t="s">
        <v>158</v>
      </c>
      <c r="B32" t="s">
        <v>159</v>
      </c>
      <c r="C32" t="s">
        <v>12</v>
      </c>
      <c r="D32" t="s">
        <v>13</v>
      </c>
      <c r="E32" t="s">
        <v>14</v>
      </c>
      <c r="F32" t="s">
        <v>64</v>
      </c>
      <c r="G32" s="3">
        <v>45410</v>
      </c>
      <c r="H32">
        <v>29</v>
      </c>
      <c r="I32">
        <v>4</v>
      </c>
      <c r="J32" s="2">
        <v>510</v>
      </c>
      <c r="K32" t="s">
        <v>58</v>
      </c>
      <c r="L32">
        <v>1</v>
      </c>
      <c r="M32" t="s">
        <v>234</v>
      </c>
    </row>
    <row r="33" spans="1:13" x14ac:dyDescent="0.3">
      <c r="A33" t="s">
        <v>164</v>
      </c>
      <c r="B33" t="s">
        <v>165</v>
      </c>
      <c r="C33" t="s">
        <v>22</v>
      </c>
      <c r="D33" t="s">
        <v>23</v>
      </c>
      <c r="E33" t="s">
        <v>7</v>
      </c>
      <c r="F33" t="s">
        <v>57</v>
      </c>
      <c r="G33" s="3">
        <v>45411</v>
      </c>
      <c r="H33">
        <v>31</v>
      </c>
      <c r="I33">
        <v>4</v>
      </c>
      <c r="J33" s="2">
        <v>550</v>
      </c>
      <c r="K33" t="s">
        <v>58</v>
      </c>
      <c r="L33">
        <v>1</v>
      </c>
      <c r="M33" t="s">
        <v>234</v>
      </c>
    </row>
    <row r="34" spans="1:13" x14ac:dyDescent="0.3">
      <c r="A34" t="s">
        <v>166</v>
      </c>
      <c r="B34" t="s">
        <v>167</v>
      </c>
      <c r="C34" t="s">
        <v>24</v>
      </c>
      <c r="D34" t="s">
        <v>25</v>
      </c>
      <c r="E34" t="s">
        <v>26</v>
      </c>
      <c r="F34" t="s">
        <v>61</v>
      </c>
      <c r="G34" s="3">
        <v>45412</v>
      </c>
      <c r="H34">
        <v>29</v>
      </c>
      <c r="I34">
        <v>5</v>
      </c>
      <c r="J34" s="2">
        <v>870</v>
      </c>
      <c r="K34" t="s">
        <v>58</v>
      </c>
      <c r="L34">
        <v>1</v>
      </c>
      <c r="M34" t="s">
        <v>234</v>
      </c>
    </row>
    <row r="35" spans="1:13" x14ac:dyDescent="0.3">
      <c r="A35" t="s">
        <v>172</v>
      </c>
      <c r="B35" t="s">
        <v>173</v>
      </c>
      <c r="C35" t="s">
        <v>31</v>
      </c>
      <c r="D35" t="s">
        <v>32</v>
      </c>
      <c r="E35" t="s">
        <v>7</v>
      </c>
      <c r="F35" t="s">
        <v>71</v>
      </c>
      <c r="G35" s="3">
        <v>45412</v>
      </c>
      <c r="H35">
        <v>39</v>
      </c>
      <c r="I35">
        <v>4</v>
      </c>
      <c r="J35" s="2">
        <v>830</v>
      </c>
      <c r="K35" t="s">
        <v>58</v>
      </c>
      <c r="L35">
        <v>1</v>
      </c>
      <c r="M35" t="s">
        <v>234</v>
      </c>
    </row>
    <row r="36" spans="1:13" x14ac:dyDescent="0.3">
      <c r="A36" t="s">
        <v>174</v>
      </c>
      <c r="B36" t="s">
        <v>175</v>
      </c>
      <c r="C36" t="s">
        <v>33</v>
      </c>
      <c r="D36" t="s">
        <v>34</v>
      </c>
      <c r="E36" t="s">
        <v>14</v>
      </c>
      <c r="F36" t="s">
        <v>57</v>
      </c>
      <c r="G36" s="3">
        <v>45412</v>
      </c>
      <c r="H36">
        <v>28</v>
      </c>
      <c r="I36">
        <v>4</v>
      </c>
      <c r="J36" s="2">
        <v>610</v>
      </c>
      <c r="K36" t="s">
        <v>58</v>
      </c>
      <c r="L36">
        <v>1</v>
      </c>
      <c r="M36" t="s">
        <v>234</v>
      </c>
    </row>
    <row r="37" spans="1:13" x14ac:dyDescent="0.3">
      <c r="A37" t="s">
        <v>176</v>
      </c>
      <c r="B37" t="s">
        <v>177</v>
      </c>
      <c r="C37" t="s">
        <v>35</v>
      </c>
      <c r="D37" t="s">
        <v>36</v>
      </c>
      <c r="E37" t="s">
        <v>20</v>
      </c>
      <c r="F37" t="s">
        <v>61</v>
      </c>
      <c r="G37" s="3">
        <v>45412</v>
      </c>
      <c r="H37">
        <v>32</v>
      </c>
      <c r="I37">
        <v>4</v>
      </c>
      <c r="J37" s="2">
        <v>740</v>
      </c>
      <c r="K37" t="s">
        <v>58</v>
      </c>
      <c r="L37">
        <v>1</v>
      </c>
      <c r="M37" t="s">
        <v>234</v>
      </c>
    </row>
    <row r="38" spans="1:13" x14ac:dyDescent="0.3">
      <c r="A38" t="s">
        <v>182</v>
      </c>
      <c r="B38" t="s">
        <v>183</v>
      </c>
      <c r="C38" t="s">
        <v>41</v>
      </c>
      <c r="D38" t="s">
        <v>42</v>
      </c>
      <c r="E38" t="s">
        <v>11</v>
      </c>
      <c r="F38" t="s">
        <v>71</v>
      </c>
      <c r="G38" s="3">
        <v>45412</v>
      </c>
      <c r="H38">
        <v>37</v>
      </c>
      <c r="I38">
        <v>5</v>
      </c>
      <c r="J38" s="2">
        <v>940</v>
      </c>
      <c r="K38" t="s">
        <v>58</v>
      </c>
      <c r="L38">
        <v>1</v>
      </c>
      <c r="M38" t="s">
        <v>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CDB20-B9D0-4BE9-89BE-D57B6CBBCAC5}">
  <dimension ref="A1:E17"/>
  <sheetViews>
    <sheetView workbookViewId="0"/>
  </sheetViews>
  <sheetFormatPr defaultRowHeight="14.4" x14ac:dyDescent="0.3"/>
  <cols>
    <col min="1" max="1" width="14.109375" bestFit="1" customWidth="1"/>
    <col min="2" max="2" width="17.44140625" bestFit="1" customWidth="1"/>
    <col min="3" max="3" width="7.44140625" bestFit="1" customWidth="1"/>
    <col min="4" max="4" width="12.109375" bestFit="1" customWidth="1"/>
    <col min="5" max="5" width="11.77734375" bestFit="1" customWidth="1"/>
  </cols>
  <sheetData>
    <row r="1" spans="1:5" x14ac:dyDescent="0.3">
      <c r="A1" s="1" t="s">
        <v>0</v>
      </c>
      <c r="B1" s="1" t="s">
        <v>1</v>
      </c>
      <c r="C1" s="1" t="s">
        <v>2</v>
      </c>
      <c r="D1" s="1" t="s">
        <v>3</v>
      </c>
      <c r="E1" s="1" t="s">
        <v>4</v>
      </c>
    </row>
    <row r="2" spans="1:5" x14ac:dyDescent="0.3">
      <c r="A2" t="s">
        <v>5</v>
      </c>
      <c r="B2" t="s">
        <v>6</v>
      </c>
      <c r="C2" t="s">
        <v>7</v>
      </c>
      <c r="D2" t="s">
        <v>8</v>
      </c>
      <c r="E2">
        <v>4.5999999999999996</v>
      </c>
    </row>
    <row r="3" spans="1:5" x14ac:dyDescent="0.3">
      <c r="A3" t="s">
        <v>9</v>
      </c>
      <c r="B3" t="s">
        <v>10</v>
      </c>
      <c r="C3" t="s">
        <v>11</v>
      </c>
      <c r="D3" t="s">
        <v>8</v>
      </c>
      <c r="E3">
        <v>4.5</v>
      </c>
    </row>
    <row r="4" spans="1:5" x14ac:dyDescent="0.3">
      <c r="A4" t="s">
        <v>12</v>
      </c>
      <c r="B4" t="s">
        <v>13</v>
      </c>
      <c r="C4" t="s">
        <v>14</v>
      </c>
      <c r="D4" t="s">
        <v>8</v>
      </c>
      <c r="E4">
        <v>4.4000000000000004</v>
      </c>
    </row>
    <row r="5" spans="1:5" x14ac:dyDescent="0.3">
      <c r="A5" t="s">
        <v>15</v>
      </c>
      <c r="B5" t="s">
        <v>16</v>
      </c>
      <c r="C5" t="s">
        <v>11</v>
      </c>
      <c r="D5" t="s">
        <v>17</v>
      </c>
      <c r="E5">
        <v>4.3</v>
      </c>
    </row>
    <row r="6" spans="1:5" x14ac:dyDescent="0.3">
      <c r="A6" t="s">
        <v>18</v>
      </c>
      <c r="B6" t="s">
        <v>19</v>
      </c>
      <c r="C6" t="s">
        <v>20</v>
      </c>
      <c r="D6" t="s">
        <v>21</v>
      </c>
      <c r="E6">
        <v>4.5</v>
      </c>
    </row>
    <row r="7" spans="1:5" x14ac:dyDescent="0.3">
      <c r="A7" t="s">
        <v>22</v>
      </c>
      <c r="B7" t="s">
        <v>23</v>
      </c>
      <c r="C7" t="s">
        <v>7</v>
      </c>
      <c r="D7" t="s">
        <v>8</v>
      </c>
      <c r="E7">
        <v>4.2</v>
      </c>
    </row>
    <row r="8" spans="1:5" x14ac:dyDescent="0.3">
      <c r="A8" t="s">
        <v>24</v>
      </c>
      <c r="B8" t="s">
        <v>25</v>
      </c>
      <c r="C8" t="s">
        <v>26</v>
      </c>
      <c r="D8" t="s">
        <v>8</v>
      </c>
      <c r="E8">
        <v>4.7</v>
      </c>
    </row>
    <row r="9" spans="1:5" x14ac:dyDescent="0.3">
      <c r="A9" t="s">
        <v>27</v>
      </c>
      <c r="B9" t="s">
        <v>28</v>
      </c>
      <c r="C9" t="s">
        <v>26</v>
      </c>
      <c r="D9" t="s">
        <v>17</v>
      </c>
      <c r="E9">
        <v>4.0999999999999996</v>
      </c>
    </row>
    <row r="10" spans="1:5" x14ac:dyDescent="0.3">
      <c r="A10" t="s">
        <v>29</v>
      </c>
      <c r="B10" t="s">
        <v>30</v>
      </c>
      <c r="C10" t="s">
        <v>14</v>
      </c>
      <c r="D10" t="s">
        <v>8</v>
      </c>
      <c r="E10">
        <v>4.4000000000000004</v>
      </c>
    </row>
    <row r="11" spans="1:5" x14ac:dyDescent="0.3">
      <c r="A11" t="s">
        <v>31</v>
      </c>
      <c r="B11" t="s">
        <v>32</v>
      </c>
      <c r="C11" t="s">
        <v>7</v>
      </c>
      <c r="D11" t="s">
        <v>21</v>
      </c>
      <c r="E11">
        <v>4.5999999999999996</v>
      </c>
    </row>
    <row r="12" spans="1:5" x14ac:dyDescent="0.3">
      <c r="A12" t="s">
        <v>33</v>
      </c>
      <c r="B12" t="s">
        <v>34</v>
      </c>
      <c r="C12" t="s">
        <v>14</v>
      </c>
      <c r="D12" t="s">
        <v>8</v>
      </c>
      <c r="E12">
        <v>4.3</v>
      </c>
    </row>
    <row r="13" spans="1:5" x14ac:dyDescent="0.3">
      <c r="A13" t="s">
        <v>35</v>
      </c>
      <c r="B13" t="s">
        <v>36</v>
      </c>
      <c r="C13" t="s">
        <v>20</v>
      </c>
      <c r="D13" t="s">
        <v>8</v>
      </c>
      <c r="E13">
        <v>4.4000000000000004</v>
      </c>
    </row>
    <row r="14" spans="1:5" x14ac:dyDescent="0.3">
      <c r="A14" t="s">
        <v>37</v>
      </c>
      <c r="B14" t="s">
        <v>38</v>
      </c>
      <c r="C14" t="s">
        <v>20</v>
      </c>
      <c r="D14" t="s">
        <v>21</v>
      </c>
      <c r="E14">
        <v>4</v>
      </c>
    </row>
    <row r="15" spans="1:5" x14ac:dyDescent="0.3">
      <c r="A15" t="s">
        <v>39</v>
      </c>
      <c r="B15" t="s">
        <v>40</v>
      </c>
      <c r="C15" t="s">
        <v>26</v>
      </c>
      <c r="D15" t="s">
        <v>17</v>
      </c>
      <c r="E15">
        <v>4.2</v>
      </c>
    </row>
    <row r="16" spans="1:5" x14ac:dyDescent="0.3">
      <c r="A16" t="s">
        <v>41</v>
      </c>
      <c r="B16" t="s">
        <v>42</v>
      </c>
      <c r="C16" t="s">
        <v>11</v>
      </c>
      <c r="D16" t="s">
        <v>8</v>
      </c>
      <c r="E16">
        <v>4.5</v>
      </c>
    </row>
    <row r="17" spans="1:5" x14ac:dyDescent="0.3">
      <c r="A17" t="s">
        <v>43</v>
      </c>
      <c r="B17" t="s">
        <v>44</v>
      </c>
      <c r="C17" t="s">
        <v>20</v>
      </c>
      <c r="D17" t="s">
        <v>21</v>
      </c>
      <c r="E17">
        <v>4.0999999999999996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FA75-C8D8-436D-B342-279073E4CE0E}">
  <dimension ref="A1:M70"/>
  <sheetViews>
    <sheetView workbookViewId="0"/>
  </sheetViews>
  <sheetFormatPr defaultRowHeight="14.4" x14ac:dyDescent="0.3"/>
  <cols>
    <col min="1" max="1" width="34.44140625" bestFit="1" customWidth="1"/>
    <col min="2" max="2" width="16.44140625" bestFit="1" customWidth="1"/>
    <col min="3" max="3" width="14.109375" bestFit="1" customWidth="1"/>
    <col min="4" max="4" width="17.44140625" bestFit="1" customWidth="1"/>
    <col min="5" max="5" width="9.33203125" bestFit="1" customWidth="1"/>
    <col min="6" max="6" width="11.21875" bestFit="1" customWidth="1"/>
    <col min="7" max="7" width="11.88671875" bestFit="1" customWidth="1"/>
    <col min="8" max="8" width="14.109375" bestFit="1" customWidth="1"/>
    <col min="9" max="9" width="8.5546875" bestFit="1" customWidth="1"/>
    <col min="10" max="10" width="10.5546875" bestFit="1" customWidth="1"/>
    <col min="12" max="12" width="8.77734375" bestFit="1" customWidth="1"/>
    <col min="13" max="13" width="12.6640625" bestFit="1" customWidth="1"/>
  </cols>
  <sheetData>
    <row r="1" spans="1:13" x14ac:dyDescent="0.3">
      <c r="A1" s="1" t="s">
        <v>45</v>
      </c>
      <c r="B1" s="1" t="s">
        <v>46</v>
      </c>
      <c r="C1" s="1" t="s">
        <v>0</v>
      </c>
      <c r="D1" s="1" t="s">
        <v>1</v>
      </c>
      <c r="E1" s="1" t="s">
        <v>2</v>
      </c>
      <c r="F1" s="1" t="s">
        <v>47</v>
      </c>
      <c r="G1" s="1" t="s">
        <v>48</v>
      </c>
      <c r="H1" s="1" t="s">
        <v>49</v>
      </c>
      <c r="I1" s="1" t="s">
        <v>50</v>
      </c>
      <c r="J1" s="1" t="s">
        <v>51</v>
      </c>
      <c r="K1" s="1" t="s">
        <v>52</v>
      </c>
      <c r="L1" s="1" t="s">
        <v>53</v>
      </c>
      <c r="M1" s="1" t="s">
        <v>54</v>
      </c>
    </row>
    <row r="2" spans="1:13" x14ac:dyDescent="0.3">
      <c r="A2" t="s">
        <v>55</v>
      </c>
      <c r="B2" t="s">
        <v>56</v>
      </c>
      <c r="C2" t="s">
        <v>5</v>
      </c>
      <c r="D2" t="str">
        <f>_xlfn.XLOOKUP(C2, Restaurants!$A$2:$A$17, Restaurants!$B$2:$B$17, "Not Listed")</f>
        <v>Punjab Grill</v>
      </c>
      <c r="E2" t="str">
        <f>IFERROR(INDEX(Restaurants!$C$2:$C$17, MATCH(C2, Restaurants!$A$2:$A$17, 0)), "Not Listed")</f>
        <v>North</v>
      </c>
      <c r="F2" t="s">
        <v>57</v>
      </c>
      <c r="G2" s="3">
        <v>45296</v>
      </c>
      <c r="H2">
        <v>25</v>
      </c>
      <c r="I2">
        <v>5</v>
      </c>
      <c r="J2" s="2">
        <v>850</v>
      </c>
      <c r="K2" t="s">
        <v>58</v>
      </c>
      <c r="L2">
        <v>1</v>
      </c>
      <c r="M2" t="str">
        <f>IF(OR(H2&lt;'Stats Summary'!$C$14, H2&gt;'Stats Summary'!$C$15), "Yes", "No")</f>
        <v>No</v>
      </c>
    </row>
    <row r="3" spans="1:13" x14ac:dyDescent="0.3">
      <c r="A3" t="s">
        <v>59</v>
      </c>
      <c r="B3" t="s">
        <v>60</v>
      </c>
      <c r="C3" t="s">
        <v>9</v>
      </c>
      <c r="D3" t="str">
        <f>_xlfn.XLOOKUP(C3, Restaurants!$A$2:$A$17, Restaurants!$B$2:$B$17, "Not Listed")</f>
        <v>Bella Italia</v>
      </c>
      <c r="E3" t="str">
        <f>IFERROR(INDEX(Restaurants!$C$2:$C$17, MATCH(C3, Restaurants!$A$2:$A$17, 0)), "Not Listed")</f>
        <v>South</v>
      </c>
      <c r="F3" t="s">
        <v>61</v>
      </c>
      <c r="G3" s="3">
        <v>45299</v>
      </c>
      <c r="H3">
        <v>32</v>
      </c>
      <c r="I3">
        <v>4</v>
      </c>
      <c r="J3" s="2">
        <v>620</v>
      </c>
      <c r="K3" t="s">
        <v>58</v>
      </c>
      <c r="L3">
        <v>1</v>
      </c>
      <c r="M3" t="str">
        <f>IF(OR(H3&lt;'Stats Summary'!$C$14, H3&gt;'Stats Summary'!$C$15), "Yes", "No")</f>
        <v>No</v>
      </c>
    </row>
    <row r="4" spans="1:13" x14ac:dyDescent="0.3">
      <c r="A4" t="s">
        <v>62</v>
      </c>
      <c r="B4" t="s">
        <v>63</v>
      </c>
      <c r="C4" t="s">
        <v>12</v>
      </c>
      <c r="D4" t="str">
        <f>_xlfn.XLOOKUP(C4, Restaurants!$A$2:$A$17, Restaurants!$B$2:$B$17, "Not Listed")</f>
        <v>Mainland China</v>
      </c>
      <c r="E4" t="str">
        <f>IFERROR(INDEX(Restaurants!$C$2:$C$17, MATCH(C4, Restaurants!$A$2:$A$17, 0)), "Not Listed")</f>
        <v>Central</v>
      </c>
      <c r="F4" t="s">
        <v>64</v>
      </c>
      <c r="G4" s="3">
        <v>45303</v>
      </c>
      <c r="H4">
        <v>48</v>
      </c>
      <c r="I4">
        <v>3</v>
      </c>
      <c r="J4" s="2">
        <v>450</v>
      </c>
      <c r="K4" t="s">
        <v>65</v>
      </c>
      <c r="L4">
        <v>1</v>
      </c>
      <c r="M4" t="str">
        <f>IF(OR(H4&lt;'Stats Summary'!$C$14, H4&gt;'Stats Summary'!$C$15), "Yes", "No")</f>
        <v>No</v>
      </c>
    </row>
    <row r="5" spans="1:13" x14ac:dyDescent="0.3">
      <c r="A5" t="s">
        <v>66</v>
      </c>
      <c r="B5" t="s">
        <v>67</v>
      </c>
      <c r="C5" t="s">
        <v>15</v>
      </c>
      <c r="D5" t="str">
        <f>_xlfn.XLOOKUP(C5, Restaurants!$A$2:$A$17, Restaurants!$B$2:$B$17, "Not Listed")</f>
        <v>Sagar Ratna</v>
      </c>
      <c r="E5" t="str">
        <f>IFERROR(INDEX(Restaurants!$C$2:$C$17, MATCH(C5, Restaurants!$A$2:$A$17, 0)), "Not Listed")</f>
        <v>South</v>
      </c>
      <c r="F5" t="s">
        <v>68</v>
      </c>
      <c r="G5" s="3">
        <v>45306</v>
      </c>
      <c r="H5">
        <v>22</v>
      </c>
      <c r="I5">
        <v>5</v>
      </c>
      <c r="J5" s="2">
        <v>320</v>
      </c>
      <c r="K5" t="s">
        <v>58</v>
      </c>
      <c r="L5">
        <v>1</v>
      </c>
      <c r="M5" t="str">
        <f>IF(OR(H5&lt;'Stats Summary'!$C$14, H5&gt;'Stats Summary'!$C$15), "Yes", "No")</f>
        <v>No</v>
      </c>
    </row>
    <row r="6" spans="1:13" x14ac:dyDescent="0.3">
      <c r="A6" t="s">
        <v>69</v>
      </c>
      <c r="B6" t="s">
        <v>70</v>
      </c>
      <c r="C6" t="s">
        <v>18</v>
      </c>
      <c r="D6" t="str">
        <f>_xlfn.XLOOKUP(C6, Restaurants!$A$2:$A$17, Restaurants!$B$2:$B$17, "Not Listed")</f>
        <v>Biryani By Kilo</v>
      </c>
      <c r="E6" t="str">
        <f>IFERROR(INDEX(Restaurants!$C$2:$C$17, MATCH(C6, Restaurants!$A$2:$A$17, 0)), "Not Listed")</f>
        <v>East</v>
      </c>
      <c r="F6" t="s">
        <v>71</v>
      </c>
      <c r="G6" s="3">
        <v>45309</v>
      </c>
      <c r="H6">
        <v>38</v>
      </c>
      <c r="I6">
        <v>4</v>
      </c>
      <c r="J6" s="2">
        <v>780</v>
      </c>
      <c r="K6" t="s">
        <v>58</v>
      </c>
      <c r="L6">
        <v>1</v>
      </c>
      <c r="M6" t="str">
        <f>IF(OR(H6&lt;'Stats Summary'!$C$14, H6&gt;'Stats Summary'!$C$15), "Yes", "No")</f>
        <v>No</v>
      </c>
    </row>
    <row r="7" spans="1:13" x14ac:dyDescent="0.3">
      <c r="A7" t="s">
        <v>72</v>
      </c>
      <c r="B7" t="s">
        <v>73</v>
      </c>
      <c r="C7" t="s">
        <v>22</v>
      </c>
      <c r="D7" t="str">
        <f>_xlfn.XLOOKUP(C7, Restaurants!$A$2:$A$17, Restaurants!$B$2:$B$17, "Not Listed")</f>
        <v>Kake Da Dhaba</v>
      </c>
      <c r="E7" t="str">
        <f>IFERROR(INDEX(Restaurants!$C$2:$C$17, MATCH(C7, Restaurants!$A$2:$A$17, 0)), "Not Listed")</f>
        <v>North</v>
      </c>
      <c r="F7" t="s">
        <v>57</v>
      </c>
      <c r="G7" s="3">
        <v>45313</v>
      </c>
      <c r="H7">
        <v>28</v>
      </c>
      <c r="I7">
        <v>4</v>
      </c>
      <c r="J7" s="2">
        <v>540</v>
      </c>
      <c r="K7" t="s">
        <v>58</v>
      </c>
      <c r="L7">
        <v>1</v>
      </c>
      <c r="M7" t="str">
        <f>IF(OR(H7&lt;'Stats Summary'!$C$14, H7&gt;'Stats Summary'!$C$15), "Yes", "No")</f>
        <v>No</v>
      </c>
    </row>
    <row r="8" spans="1:13" x14ac:dyDescent="0.3">
      <c r="A8" t="s">
        <v>74</v>
      </c>
      <c r="B8" t="s">
        <v>75</v>
      </c>
      <c r="C8" t="s">
        <v>24</v>
      </c>
      <c r="D8" t="str">
        <f>_xlfn.XLOOKUP(C8, Restaurants!$A$2:$A$17, Restaurants!$B$2:$B$17, "Not Listed")</f>
        <v>Toscano Trattoria</v>
      </c>
      <c r="E8" t="str">
        <f>IFERROR(INDEX(Restaurants!$C$2:$C$17, MATCH(C8, Restaurants!$A$2:$A$17, 0)), "Not Listed")</f>
        <v>West</v>
      </c>
      <c r="F8" t="s">
        <v>61</v>
      </c>
      <c r="G8" s="3">
        <v>45316</v>
      </c>
      <c r="H8">
        <v>82</v>
      </c>
      <c r="I8">
        <v>2</v>
      </c>
      <c r="J8" s="2">
        <v>950</v>
      </c>
      <c r="K8" t="s">
        <v>65</v>
      </c>
      <c r="L8">
        <v>1</v>
      </c>
      <c r="M8" t="str">
        <f>IF(OR(H8&lt;'Stats Summary'!$C$14, H8&gt;'Stats Summary'!$C$15), "Yes", "No")</f>
        <v>Yes</v>
      </c>
    </row>
    <row r="9" spans="1:13" x14ac:dyDescent="0.3">
      <c r="A9" t="s">
        <v>76</v>
      </c>
      <c r="B9" t="s">
        <v>77</v>
      </c>
      <c r="C9" t="s">
        <v>27</v>
      </c>
      <c r="D9" t="str">
        <f>_xlfn.XLOOKUP(C9, Restaurants!$A$2:$A$17, Restaurants!$B$2:$B$17, "Not Listed")</f>
        <v>Noodle Bar</v>
      </c>
      <c r="E9" t="str">
        <f>IFERROR(INDEX(Restaurants!$C$2:$C$17, MATCH(C9, Restaurants!$A$2:$A$17, 0)), "Not Listed")</f>
        <v>West</v>
      </c>
      <c r="F9" t="s">
        <v>64</v>
      </c>
      <c r="G9" s="3">
        <v>45319</v>
      </c>
      <c r="H9">
        <v>35</v>
      </c>
      <c r="I9">
        <v>4</v>
      </c>
      <c r="J9" s="2">
        <v>480</v>
      </c>
      <c r="K9" t="s">
        <v>58</v>
      </c>
      <c r="L9">
        <v>1</v>
      </c>
      <c r="M9" t="str">
        <f>IF(OR(H9&lt;'Stats Summary'!$C$14, H9&gt;'Stats Summary'!$C$15), "Yes", "No")</f>
        <v>No</v>
      </c>
    </row>
    <row r="10" spans="1:13" x14ac:dyDescent="0.3">
      <c r="A10" t="s">
        <v>78</v>
      </c>
      <c r="B10" t="s">
        <v>79</v>
      </c>
      <c r="C10" t="s">
        <v>29</v>
      </c>
      <c r="D10" t="str">
        <f>_xlfn.XLOOKUP(C10, Restaurants!$A$2:$A$17, Restaurants!$B$2:$B$17, "Not Listed")</f>
        <v>Saravana Bhavan</v>
      </c>
      <c r="E10" t="str">
        <f>IFERROR(INDEX(Restaurants!$C$2:$C$17, MATCH(C10, Restaurants!$A$2:$A$17, 0)), "Not Listed")</f>
        <v>Central</v>
      </c>
      <c r="F10" t="s">
        <v>68</v>
      </c>
      <c r="G10" s="3">
        <v>45321</v>
      </c>
      <c r="H10">
        <v>19</v>
      </c>
      <c r="I10">
        <v>5</v>
      </c>
      <c r="J10" s="2">
        <v>290</v>
      </c>
      <c r="K10" t="s">
        <v>58</v>
      </c>
      <c r="L10">
        <v>1</v>
      </c>
      <c r="M10" t="str">
        <f>IF(OR(H10&lt;'Stats Summary'!$C$14, H10&gt;'Stats Summary'!$C$15), "Yes", "No")</f>
        <v>No</v>
      </c>
    </row>
    <row r="11" spans="1:13" x14ac:dyDescent="0.3">
      <c r="A11" t="s">
        <v>80</v>
      </c>
      <c r="B11" t="s">
        <v>81</v>
      </c>
      <c r="C11" t="s">
        <v>31</v>
      </c>
      <c r="D11" t="str">
        <f>_xlfn.XLOOKUP(C11, Restaurants!$A$2:$A$17, Restaurants!$B$2:$B$17, "Not Listed")</f>
        <v>Behrouz Biryani</v>
      </c>
      <c r="E11" t="str">
        <f>IFERROR(INDEX(Restaurants!$C$2:$C$17, MATCH(C11, Restaurants!$A$2:$A$17, 0)), "Not Listed")</f>
        <v>North</v>
      </c>
      <c r="F11" t="s">
        <v>71</v>
      </c>
      <c r="G11" s="3">
        <v>45324</v>
      </c>
      <c r="H11">
        <v>42</v>
      </c>
      <c r="I11">
        <v>3</v>
      </c>
      <c r="J11" s="2">
        <v>820</v>
      </c>
      <c r="K11" t="s">
        <v>58</v>
      </c>
      <c r="L11">
        <v>1</v>
      </c>
      <c r="M11" t="str">
        <f>IF(OR(H11&lt;'Stats Summary'!$C$14, H11&gt;'Stats Summary'!$C$15), "Yes", "No")</f>
        <v>No</v>
      </c>
    </row>
    <row r="12" spans="1:13" x14ac:dyDescent="0.3">
      <c r="A12" t="s">
        <v>82</v>
      </c>
      <c r="B12" t="s">
        <v>83</v>
      </c>
      <c r="C12" t="s">
        <v>33</v>
      </c>
      <c r="D12" t="str">
        <f>_xlfn.XLOOKUP(C12, Restaurants!$A$2:$A$17, Restaurants!$B$2:$B$17, "Not Listed")</f>
        <v>Moti Mahal Delux</v>
      </c>
      <c r="E12" t="str">
        <f>IFERROR(INDEX(Restaurants!$C$2:$C$17, MATCH(C12, Restaurants!$A$2:$A$17, 0)), "Not Listed")</f>
        <v>Central</v>
      </c>
      <c r="F12" t="s">
        <v>57</v>
      </c>
      <c r="G12" s="3">
        <v>45327</v>
      </c>
      <c r="H12">
        <v>30</v>
      </c>
      <c r="I12">
        <v>4</v>
      </c>
      <c r="J12" s="2">
        <v>690</v>
      </c>
      <c r="K12" t="s">
        <v>58</v>
      </c>
      <c r="L12">
        <v>1</v>
      </c>
      <c r="M12" t="str">
        <f>IF(OR(H12&lt;'Stats Summary'!$C$14, H12&gt;'Stats Summary'!$C$15), "Yes", "No")</f>
        <v>No</v>
      </c>
    </row>
    <row r="13" spans="1:13" x14ac:dyDescent="0.3">
      <c r="A13" t="s">
        <v>84</v>
      </c>
      <c r="B13" t="s">
        <v>85</v>
      </c>
      <c r="C13" t="s">
        <v>35</v>
      </c>
      <c r="D13" t="str">
        <f>_xlfn.XLOOKUP(C13, Restaurants!$A$2:$A$17, Restaurants!$B$2:$B$17, "Not Listed")</f>
        <v>Little Italy</v>
      </c>
      <c r="E13" t="str">
        <f>IFERROR(INDEX(Restaurants!$C$2:$C$17, MATCH(C13, Restaurants!$A$2:$A$17, 0)), "Not Listed")</f>
        <v>East</v>
      </c>
      <c r="F13" t="s">
        <v>61</v>
      </c>
      <c r="G13" s="3">
        <v>45330</v>
      </c>
      <c r="H13">
        <v>27</v>
      </c>
      <c r="I13">
        <v>5</v>
      </c>
      <c r="J13" s="2">
        <v>880</v>
      </c>
      <c r="K13" t="s">
        <v>58</v>
      </c>
      <c r="L13">
        <v>1</v>
      </c>
      <c r="M13" t="str">
        <f>IF(OR(H13&lt;'Stats Summary'!$C$14, H13&gt;'Stats Summary'!$C$15), "Yes", "No")</f>
        <v>No</v>
      </c>
    </row>
    <row r="14" spans="1:13" x14ac:dyDescent="0.3">
      <c r="A14" t="s">
        <v>86</v>
      </c>
      <c r="B14" t="s">
        <v>87</v>
      </c>
      <c r="C14" t="s">
        <v>37</v>
      </c>
      <c r="D14" t="str">
        <f>_xlfn.XLOOKUP(C14, Restaurants!$A$2:$A$17, Restaurants!$B$2:$B$17, "Not Listed")</f>
        <v>Wok Express</v>
      </c>
      <c r="E14" t="str">
        <f>IFERROR(INDEX(Restaurants!$C$2:$C$17, MATCH(C14, Restaurants!$A$2:$A$17, 0)), "Not Listed")</f>
        <v>East</v>
      </c>
      <c r="F14" t="s">
        <v>64</v>
      </c>
      <c r="G14" s="3">
        <v>45333</v>
      </c>
      <c r="H14">
        <v>52</v>
      </c>
      <c r="I14">
        <v>2</v>
      </c>
      <c r="J14" s="2">
        <v>380</v>
      </c>
      <c r="K14" t="s">
        <v>65</v>
      </c>
      <c r="L14">
        <v>1</v>
      </c>
      <c r="M14" t="str">
        <f>IF(OR(H14&lt;'Stats Summary'!$C$14, H14&gt;'Stats Summary'!$C$15), "Yes", "No")</f>
        <v>No</v>
      </c>
    </row>
    <row r="15" spans="1:13" x14ac:dyDescent="0.3">
      <c r="A15" t="s">
        <v>88</v>
      </c>
      <c r="B15" t="s">
        <v>89</v>
      </c>
      <c r="C15" t="s">
        <v>39</v>
      </c>
      <c r="D15" t="str">
        <f>_xlfn.XLOOKUP(C15, Restaurants!$A$2:$A$17, Restaurants!$B$2:$B$17, "Not Listed")</f>
        <v>Madras Cafe</v>
      </c>
      <c r="E15" t="str">
        <f>IFERROR(INDEX(Restaurants!$C$2:$C$17, MATCH(C15, Restaurants!$A$2:$A$17, 0)), "Not Listed")</f>
        <v>West</v>
      </c>
      <c r="F15" t="s">
        <v>68</v>
      </c>
      <c r="G15" s="3">
        <v>45336</v>
      </c>
      <c r="H15">
        <v>24</v>
      </c>
      <c r="I15">
        <v>4</v>
      </c>
      <c r="J15" s="2">
        <v>310</v>
      </c>
      <c r="K15" t="s">
        <v>58</v>
      </c>
      <c r="L15">
        <v>1</v>
      </c>
      <c r="M15" t="str">
        <f>IF(OR(H15&lt;'Stats Summary'!$C$14, H15&gt;'Stats Summary'!$C$15), "Yes", "No")</f>
        <v>No</v>
      </c>
    </row>
    <row r="16" spans="1:13" x14ac:dyDescent="0.3">
      <c r="A16" t="s">
        <v>90</v>
      </c>
      <c r="B16" t="s">
        <v>91</v>
      </c>
      <c r="C16" t="s">
        <v>41</v>
      </c>
      <c r="D16" t="str">
        <f>_xlfn.XLOOKUP(C16, Restaurants!$A$2:$A$17, Restaurants!$B$2:$B$17, "Not Listed")</f>
        <v>Paradise Biryani</v>
      </c>
      <c r="E16" t="str">
        <f>IFERROR(INDEX(Restaurants!$C$2:$C$17, MATCH(C16, Restaurants!$A$2:$A$17, 0)), "Not Listed")</f>
        <v>South</v>
      </c>
      <c r="F16" t="s">
        <v>71</v>
      </c>
      <c r="G16" s="3">
        <v>45339</v>
      </c>
      <c r="H16">
        <v>36</v>
      </c>
      <c r="I16">
        <v>5</v>
      </c>
      <c r="J16" s="2">
        <v>750</v>
      </c>
      <c r="K16" t="s">
        <v>58</v>
      </c>
      <c r="L16">
        <v>1</v>
      </c>
      <c r="M16" t="str">
        <f>IF(OR(H16&lt;'Stats Summary'!$C$14, H16&gt;'Stats Summary'!$C$15), "Yes", "No")</f>
        <v>No</v>
      </c>
    </row>
    <row r="17" spans="1:13" x14ac:dyDescent="0.3">
      <c r="A17" t="s">
        <v>92</v>
      </c>
      <c r="B17" t="s">
        <v>93</v>
      </c>
      <c r="C17" t="s">
        <v>5</v>
      </c>
      <c r="D17" t="str">
        <f>_xlfn.XLOOKUP(C17, Restaurants!$A$2:$A$17, Restaurants!$B$2:$B$17, "Not Listed")</f>
        <v>Punjab Grill</v>
      </c>
      <c r="E17" t="str">
        <f>IFERROR(INDEX(Restaurants!$C$2:$C$17, MATCH(C17, Restaurants!$A$2:$A$17, 0)), "Not Listed")</f>
        <v>North</v>
      </c>
      <c r="F17" t="s">
        <v>57</v>
      </c>
      <c r="G17" s="3">
        <v>45342</v>
      </c>
      <c r="H17">
        <v>29</v>
      </c>
      <c r="I17">
        <v>4</v>
      </c>
      <c r="J17" s="2">
        <v>580</v>
      </c>
      <c r="K17" t="s">
        <v>58</v>
      </c>
      <c r="L17">
        <v>1</v>
      </c>
      <c r="M17" t="str">
        <f>IF(OR(H17&lt;'Stats Summary'!$C$14, H17&gt;'Stats Summary'!$C$15), "Yes", "No")</f>
        <v>No</v>
      </c>
    </row>
    <row r="18" spans="1:13" x14ac:dyDescent="0.3">
      <c r="A18" t="s">
        <v>94</v>
      </c>
      <c r="B18" t="s">
        <v>95</v>
      </c>
      <c r="C18" t="s">
        <v>96</v>
      </c>
      <c r="D18" t="str">
        <f>_xlfn.XLOOKUP(C18, Restaurants!$A$2:$A$17, Restaurants!$B$2:$B$17, "Not Listed")</f>
        <v>Not Listed</v>
      </c>
      <c r="E18" t="str">
        <f>IFERROR(INDEX(Restaurants!$C$2:$C$17, MATCH(C18, Restaurants!$A$2:$A$17, 0)), "Not Listed")</f>
        <v>Not Listed</v>
      </c>
      <c r="F18" t="s">
        <v>61</v>
      </c>
      <c r="G18" s="3">
        <v>45345</v>
      </c>
      <c r="H18">
        <v>44</v>
      </c>
      <c r="I18">
        <v>3</v>
      </c>
      <c r="J18" s="2">
        <v>640</v>
      </c>
      <c r="K18" t="s">
        <v>58</v>
      </c>
      <c r="L18">
        <v>1</v>
      </c>
      <c r="M18" t="str">
        <f>IF(OR(H18&lt;'Stats Summary'!$C$14, H18&gt;'Stats Summary'!$C$15), "Yes", "No")</f>
        <v>No</v>
      </c>
    </row>
    <row r="19" spans="1:13" x14ac:dyDescent="0.3">
      <c r="A19" t="s">
        <v>97</v>
      </c>
      <c r="B19" t="s">
        <v>98</v>
      </c>
      <c r="C19" t="s">
        <v>12</v>
      </c>
      <c r="D19" t="str">
        <f>_xlfn.XLOOKUP(C19, Restaurants!$A$2:$A$17, Restaurants!$B$2:$B$17, "Not Listed")</f>
        <v>Mainland China</v>
      </c>
      <c r="E19" t="str">
        <f>IFERROR(INDEX(Restaurants!$C$2:$C$17, MATCH(C19, Restaurants!$A$2:$A$17, 0)), "Not Listed")</f>
        <v>Central</v>
      </c>
      <c r="F19" t="s">
        <v>64</v>
      </c>
      <c r="G19" s="3">
        <v>45348</v>
      </c>
      <c r="H19">
        <v>26</v>
      </c>
      <c r="I19">
        <v>4</v>
      </c>
      <c r="J19" s="2">
        <v>520</v>
      </c>
      <c r="K19" t="s">
        <v>58</v>
      </c>
      <c r="L19">
        <v>1</v>
      </c>
      <c r="M19" t="str">
        <f>IF(OR(H19&lt;'Stats Summary'!$C$14, H19&gt;'Stats Summary'!$C$15), "Yes", "No")</f>
        <v>No</v>
      </c>
    </row>
    <row r="20" spans="1:13" x14ac:dyDescent="0.3">
      <c r="A20" t="s">
        <v>99</v>
      </c>
      <c r="B20" t="s">
        <v>100</v>
      </c>
      <c r="C20" t="s">
        <v>15</v>
      </c>
      <c r="D20" t="str">
        <f>_xlfn.XLOOKUP(C20, Restaurants!$A$2:$A$17, Restaurants!$B$2:$B$17, "Not Listed")</f>
        <v>Sagar Ratna</v>
      </c>
      <c r="E20" t="str">
        <f>IFERROR(INDEX(Restaurants!$C$2:$C$17, MATCH(C20, Restaurants!$A$2:$A$17, 0)), "Not Listed")</f>
        <v>South</v>
      </c>
      <c r="F20" t="s">
        <v>68</v>
      </c>
      <c r="G20" s="3">
        <v>45350</v>
      </c>
      <c r="H20">
        <v>18</v>
      </c>
      <c r="I20">
        <v>5</v>
      </c>
      <c r="J20" s="2">
        <v>340</v>
      </c>
      <c r="K20" t="s">
        <v>58</v>
      </c>
      <c r="L20">
        <v>1</v>
      </c>
      <c r="M20" t="str">
        <f>IF(OR(H20&lt;'Stats Summary'!$C$14, H20&gt;'Stats Summary'!$C$15), "Yes", "No")</f>
        <v>No</v>
      </c>
    </row>
    <row r="21" spans="1:13" x14ac:dyDescent="0.3">
      <c r="A21" t="s">
        <v>101</v>
      </c>
      <c r="B21" t="s">
        <v>102</v>
      </c>
      <c r="C21" t="s">
        <v>18</v>
      </c>
      <c r="D21" t="str">
        <f>_xlfn.XLOOKUP(C21, Restaurants!$A$2:$A$17, Restaurants!$B$2:$B$17, "Not Listed")</f>
        <v>Biryani By Kilo</v>
      </c>
      <c r="E21" t="str">
        <f>IFERROR(INDEX(Restaurants!$C$2:$C$17, MATCH(C21, Restaurants!$A$2:$A$17, 0)), "Not Listed")</f>
        <v>East</v>
      </c>
      <c r="F21" t="s">
        <v>71</v>
      </c>
      <c r="G21" s="3">
        <v>45353</v>
      </c>
      <c r="H21">
        <v>40</v>
      </c>
      <c r="I21">
        <v>4</v>
      </c>
      <c r="J21" s="2">
        <v>920</v>
      </c>
      <c r="K21" t="s">
        <v>58</v>
      </c>
      <c r="L21">
        <v>1</v>
      </c>
      <c r="M21" t="str">
        <f>IF(OR(H21&lt;'Stats Summary'!$C$14, H21&gt;'Stats Summary'!$C$15), "Yes", "No")</f>
        <v>No</v>
      </c>
    </row>
    <row r="22" spans="1:13" x14ac:dyDescent="0.3">
      <c r="A22" t="s">
        <v>103</v>
      </c>
      <c r="B22" t="s">
        <v>104</v>
      </c>
      <c r="C22" t="s">
        <v>22</v>
      </c>
      <c r="D22" t="str">
        <f>_xlfn.XLOOKUP(C22, Restaurants!$A$2:$A$17, Restaurants!$B$2:$B$17, "Not Listed")</f>
        <v>Kake Da Dhaba</v>
      </c>
      <c r="E22" t="str">
        <f>IFERROR(INDEX(Restaurants!$C$2:$C$17, MATCH(C22, Restaurants!$A$2:$A$17, 0)), "Not Listed")</f>
        <v>North</v>
      </c>
      <c r="F22" t="s">
        <v>57</v>
      </c>
      <c r="G22" s="3">
        <v>45356</v>
      </c>
      <c r="H22">
        <v>33</v>
      </c>
      <c r="I22">
        <v>4</v>
      </c>
      <c r="J22" s="2">
        <v>460</v>
      </c>
      <c r="K22" t="s">
        <v>58</v>
      </c>
      <c r="L22">
        <v>1</v>
      </c>
      <c r="M22" t="str">
        <f>IF(OR(H22&lt;'Stats Summary'!$C$14, H22&gt;'Stats Summary'!$C$15), "Yes", "No")</f>
        <v>No</v>
      </c>
    </row>
    <row r="23" spans="1:13" x14ac:dyDescent="0.3">
      <c r="A23" t="s">
        <v>105</v>
      </c>
      <c r="B23" t="s">
        <v>106</v>
      </c>
      <c r="C23" t="s">
        <v>24</v>
      </c>
      <c r="D23" t="str">
        <f>_xlfn.XLOOKUP(C23, Restaurants!$A$2:$A$17, Restaurants!$B$2:$B$17, "Not Listed")</f>
        <v>Toscano Trattoria</v>
      </c>
      <c r="E23" t="str">
        <f>IFERROR(INDEX(Restaurants!$C$2:$C$17, MATCH(C23, Restaurants!$A$2:$A$17, 0)), "Not Listed")</f>
        <v>West</v>
      </c>
      <c r="F23" t="s">
        <v>61</v>
      </c>
      <c r="G23" s="3">
        <v>45358</v>
      </c>
      <c r="H23">
        <v>31</v>
      </c>
      <c r="I23">
        <v>5</v>
      </c>
      <c r="J23" s="2">
        <v>710</v>
      </c>
      <c r="K23" t="s">
        <v>58</v>
      </c>
      <c r="L23">
        <v>1</v>
      </c>
      <c r="M23" t="str">
        <f>IF(OR(H23&lt;'Stats Summary'!$C$14, H23&gt;'Stats Summary'!$C$15), "Yes", "No")</f>
        <v>No</v>
      </c>
    </row>
    <row r="24" spans="1:13" x14ac:dyDescent="0.3">
      <c r="A24" t="s">
        <v>107</v>
      </c>
      <c r="B24" t="s">
        <v>108</v>
      </c>
      <c r="C24" t="s">
        <v>27</v>
      </c>
      <c r="D24" t="str">
        <f>_xlfn.XLOOKUP(C24, Restaurants!$A$2:$A$17, Restaurants!$B$2:$B$17, "Not Listed")</f>
        <v>Noodle Bar</v>
      </c>
      <c r="E24" t="str">
        <f>IFERROR(INDEX(Restaurants!$C$2:$C$17, MATCH(C24, Restaurants!$A$2:$A$17, 0)), "Not Listed")</f>
        <v>West</v>
      </c>
      <c r="F24" t="s">
        <v>64</v>
      </c>
      <c r="G24" s="3">
        <v>45361</v>
      </c>
      <c r="H24">
        <v>65</v>
      </c>
      <c r="I24">
        <v>1</v>
      </c>
      <c r="J24" s="2">
        <v>410</v>
      </c>
      <c r="K24" t="s">
        <v>109</v>
      </c>
      <c r="L24">
        <v>1</v>
      </c>
      <c r="M24" t="str">
        <f>IF(OR(H24&lt;'Stats Summary'!$C$14, H24&gt;'Stats Summary'!$C$15), "Yes", "No")</f>
        <v>Yes</v>
      </c>
    </row>
    <row r="25" spans="1:13" x14ac:dyDescent="0.3">
      <c r="A25" t="s">
        <v>110</v>
      </c>
      <c r="B25" t="s">
        <v>111</v>
      </c>
      <c r="C25" t="s">
        <v>29</v>
      </c>
      <c r="D25" t="str">
        <f>_xlfn.XLOOKUP(C25, Restaurants!$A$2:$A$17, Restaurants!$B$2:$B$17, "Not Listed")</f>
        <v>Saravana Bhavan</v>
      </c>
      <c r="E25" t="str">
        <f>IFERROR(INDEX(Restaurants!$C$2:$C$17, MATCH(C25, Restaurants!$A$2:$A$17, 0)), "Not Listed")</f>
        <v>Central</v>
      </c>
      <c r="F25" t="s">
        <v>68</v>
      </c>
      <c r="G25" s="3">
        <v>45363</v>
      </c>
      <c r="H25">
        <v>21</v>
      </c>
      <c r="I25">
        <v>5</v>
      </c>
      <c r="J25" s="2">
        <v>360</v>
      </c>
      <c r="K25" t="s">
        <v>58</v>
      </c>
      <c r="L25">
        <v>1</v>
      </c>
      <c r="M25" t="str">
        <f>IF(OR(H25&lt;'Stats Summary'!$C$14, H25&gt;'Stats Summary'!$C$15), "Yes", "No")</f>
        <v>No</v>
      </c>
    </row>
    <row r="26" spans="1:13" x14ac:dyDescent="0.3">
      <c r="A26" t="s">
        <v>112</v>
      </c>
      <c r="B26" t="s">
        <v>113</v>
      </c>
      <c r="C26" t="s">
        <v>31</v>
      </c>
      <c r="D26" t="str">
        <f>_xlfn.XLOOKUP(C26, Restaurants!$A$2:$A$17, Restaurants!$B$2:$B$17, "Not Listed")</f>
        <v>Behrouz Biryani</v>
      </c>
      <c r="E26" t="str">
        <f>IFERROR(INDEX(Restaurants!$C$2:$C$17, MATCH(C26, Restaurants!$A$2:$A$17, 0)), "Not Listed")</f>
        <v>North</v>
      </c>
      <c r="F26" t="s">
        <v>71</v>
      </c>
      <c r="G26" s="3">
        <v>45366</v>
      </c>
      <c r="H26">
        <v>37</v>
      </c>
      <c r="I26">
        <v>4</v>
      </c>
      <c r="J26" s="2">
        <v>840</v>
      </c>
      <c r="K26" t="s">
        <v>58</v>
      </c>
      <c r="L26">
        <v>1</v>
      </c>
      <c r="M26" t="str">
        <f>IF(OR(H26&lt;'Stats Summary'!$C$14, H26&gt;'Stats Summary'!$C$15), "Yes", "No")</f>
        <v>No</v>
      </c>
    </row>
    <row r="27" spans="1:13" x14ac:dyDescent="0.3">
      <c r="A27" t="s">
        <v>114</v>
      </c>
      <c r="B27" t="s">
        <v>115</v>
      </c>
      <c r="C27" t="s">
        <v>33</v>
      </c>
      <c r="D27" t="str">
        <f>_xlfn.XLOOKUP(C27, Restaurants!$A$2:$A$17, Restaurants!$B$2:$B$17, "Not Listed")</f>
        <v>Moti Mahal Delux</v>
      </c>
      <c r="E27" t="str">
        <f>IFERROR(INDEX(Restaurants!$C$2:$C$17, MATCH(C27, Restaurants!$A$2:$A$17, 0)), "Not Listed")</f>
        <v>Central</v>
      </c>
      <c r="F27" t="s">
        <v>57</v>
      </c>
      <c r="G27" s="3">
        <v>45369</v>
      </c>
      <c r="H27">
        <v>29</v>
      </c>
      <c r="I27">
        <v>4</v>
      </c>
      <c r="J27" s="2">
        <v>620</v>
      </c>
      <c r="K27" t="s">
        <v>58</v>
      </c>
      <c r="L27">
        <v>1</v>
      </c>
      <c r="M27" t="str">
        <f>IF(OR(H27&lt;'Stats Summary'!$C$14, H27&gt;'Stats Summary'!$C$15), "Yes", "No")</f>
        <v>No</v>
      </c>
    </row>
    <row r="28" spans="1:13" x14ac:dyDescent="0.3">
      <c r="A28" t="s">
        <v>116</v>
      </c>
      <c r="B28" t="s">
        <v>117</v>
      </c>
      <c r="C28" t="s">
        <v>35</v>
      </c>
      <c r="D28" t="str">
        <f>_xlfn.XLOOKUP(C28, Restaurants!$A$2:$A$17, Restaurants!$B$2:$B$17, "Not Listed")</f>
        <v>Little Italy</v>
      </c>
      <c r="E28" t="str">
        <f>IFERROR(INDEX(Restaurants!$C$2:$C$17, MATCH(C28, Restaurants!$A$2:$A$17, 0)), "Not Listed")</f>
        <v>East</v>
      </c>
      <c r="F28" t="s">
        <v>61</v>
      </c>
      <c r="G28" s="3">
        <v>45371</v>
      </c>
      <c r="H28">
        <v>34</v>
      </c>
      <c r="I28">
        <v>4</v>
      </c>
      <c r="J28" s="2">
        <v>760</v>
      </c>
      <c r="K28" t="s">
        <v>58</v>
      </c>
      <c r="L28">
        <v>1</v>
      </c>
      <c r="M28" t="str">
        <f>IF(OR(H28&lt;'Stats Summary'!$C$14, H28&gt;'Stats Summary'!$C$15), "Yes", "No")</f>
        <v>No</v>
      </c>
    </row>
    <row r="29" spans="1:13" x14ac:dyDescent="0.3">
      <c r="A29" t="s">
        <v>118</v>
      </c>
      <c r="B29" t="s">
        <v>119</v>
      </c>
      <c r="C29" t="s">
        <v>37</v>
      </c>
      <c r="D29" t="str">
        <f>_xlfn.XLOOKUP(C29, Restaurants!$A$2:$A$17, Restaurants!$B$2:$B$17, "Not Listed")</f>
        <v>Wok Express</v>
      </c>
      <c r="E29" t="str">
        <f>IFERROR(INDEX(Restaurants!$C$2:$C$17, MATCH(C29, Restaurants!$A$2:$A$17, 0)), "Not Listed")</f>
        <v>East</v>
      </c>
      <c r="F29" t="s">
        <v>64</v>
      </c>
      <c r="G29" s="3">
        <v>45374</v>
      </c>
      <c r="H29">
        <v>46</v>
      </c>
      <c r="I29">
        <v>3</v>
      </c>
      <c r="J29" s="2">
        <v>390</v>
      </c>
      <c r="K29" t="s">
        <v>58</v>
      </c>
      <c r="L29">
        <v>1</v>
      </c>
      <c r="M29" t="str">
        <f>IF(OR(H29&lt;'Stats Summary'!$C$14, H29&gt;'Stats Summary'!$C$15), "Yes", "No")</f>
        <v>No</v>
      </c>
    </row>
    <row r="30" spans="1:13" x14ac:dyDescent="0.3">
      <c r="A30" t="s">
        <v>120</v>
      </c>
      <c r="B30" t="s">
        <v>121</v>
      </c>
      <c r="C30" t="s">
        <v>39</v>
      </c>
      <c r="D30" t="str">
        <f>_xlfn.XLOOKUP(C30, Restaurants!$A$2:$A$17, Restaurants!$B$2:$B$17, "Not Listed")</f>
        <v>Madras Cafe</v>
      </c>
      <c r="E30" t="str">
        <f>IFERROR(INDEX(Restaurants!$C$2:$C$17, MATCH(C30, Restaurants!$A$2:$A$17, 0)), "Not Listed")</f>
        <v>West</v>
      </c>
      <c r="F30" t="s">
        <v>68</v>
      </c>
      <c r="G30" s="3">
        <v>45376</v>
      </c>
      <c r="H30">
        <v>23</v>
      </c>
      <c r="I30">
        <v>4</v>
      </c>
      <c r="J30" s="2">
        <v>280</v>
      </c>
      <c r="K30" t="s">
        <v>58</v>
      </c>
      <c r="L30">
        <v>1</v>
      </c>
      <c r="M30" t="str">
        <f>IF(OR(H30&lt;'Stats Summary'!$C$14, H30&gt;'Stats Summary'!$C$15), "Yes", "No")</f>
        <v>No</v>
      </c>
    </row>
    <row r="31" spans="1:13" x14ac:dyDescent="0.3">
      <c r="A31" t="s">
        <v>122</v>
      </c>
      <c r="B31" t="s">
        <v>123</v>
      </c>
      <c r="C31" t="s">
        <v>41</v>
      </c>
      <c r="D31" t="str">
        <f>_xlfn.XLOOKUP(C31, Restaurants!$A$2:$A$17, Restaurants!$B$2:$B$17, "Not Listed")</f>
        <v>Paradise Biryani</v>
      </c>
      <c r="E31" t="str">
        <f>IFERROR(INDEX(Restaurants!$C$2:$C$17, MATCH(C31, Restaurants!$A$2:$A$17, 0)), "Not Listed")</f>
        <v>South</v>
      </c>
      <c r="F31" t="s">
        <v>71</v>
      </c>
      <c r="G31" s="3">
        <v>45379</v>
      </c>
      <c r="H31">
        <v>39</v>
      </c>
      <c r="I31">
        <v>5</v>
      </c>
      <c r="J31" s="2">
        <v>890</v>
      </c>
      <c r="K31" t="s">
        <v>58</v>
      </c>
      <c r="L31">
        <v>1</v>
      </c>
      <c r="M31" t="str">
        <f>IF(OR(H31&lt;'Stats Summary'!$C$14, H31&gt;'Stats Summary'!$C$15), "Yes", "No")</f>
        <v>No</v>
      </c>
    </row>
    <row r="32" spans="1:13" x14ac:dyDescent="0.3">
      <c r="A32" t="s">
        <v>124</v>
      </c>
      <c r="B32" t="s">
        <v>125</v>
      </c>
      <c r="C32" t="s">
        <v>5</v>
      </c>
      <c r="D32" t="str">
        <f>_xlfn.XLOOKUP(C32, Restaurants!$A$2:$A$17, Restaurants!$B$2:$B$17, "Not Listed")</f>
        <v>Punjab Grill</v>
      </c>
      <c r="E32" t="str">
        <f>IFERROR(INDEX(Restaurants!$C$2:$C$17, MATCH(C32, Restaurants!$A$2:$A$17, 0)), "Not Listed")</f>
        <v>North</v>
      </c>
      <c r="F32" t="s">
        <v>57</v>
      </c>
      <c r="G32" s="3">
        <v>45381</v>
      </c>
      <c r="H32">
        <v>26</v>
      </c>
      <c r="I32">
        <v>5</v>
      </c>
      <c r="J32" s="2">
        <v>740</v>
      </c>
      <c r="K32" t="s">
        <v>58</v>
      </c>
      <c r="L32">
        <v>1</v>
      </c>
      <c r="M32" t="str">
        <f>IF(OR(H32&lt;'Stats Summary'!$C$14, H32&gt;'Stats Summary'!$C$15), "Yes", "No")</f>
        <v>No</v>
      </c>
    </row>
    <row r="33" spans="1:13" x14ac:dyDescent="0.3">
      <c r="A33" t="s">
        <v>126</v>
      </c>
      <c r="B33" t="s">
        <v>127</v>
      </c>
      <c r="C33" t="s">
        <v>9</v>
      </c>
      <c r="D33" t="str">
        <f>_xlfn.XLOOKUP(C33, Restaurants!$A$2:$A$17, Restaurants!$B$2:$B$17, "Not Listed")</f>
        <v>Bella Italia</v>
      </c>
      <c r="E33" t="str">
        <f>IFERROR(INDEX(Restaurants!$C$2:$C$17, MATCH(C33, Restaurants!$A$2:$A$17, 0)), "Not Listed")</f>
        <v>South</v>
      </c>
      <c r="F33" t="s">
        <v>61</v>
      </c>
      <c r="G33" s="3">
        <v>45384</v>
      </c>
      <c r="H33">
        <v>30</v>
      </c>
      <c r="I33">
        <v>4</v>
      </c>
      <c r="J33" s="2">
        <v>670</v>
      </c>
      <c r="K33" t="s">
        <v>58</v>
      </c>
      <c r="L33">
        <v>1</v>
      </c>
      <c r="M33" t="str">
        <f>IF(OR(H33&lt;'Stats Summary'!$C$14, H33&gt;'Stats Summary'!$C$15), "Yes", "No")</f>
        <v>No</v>
      </c>
    </row>
    <row r="34" spans="1:13" x14ac:dyDescent="0.3">
      <c r="A34" t="s">
        <v>128</v>
      </c>
      <c r="B34" t="s">
        <v>129</v>
      </c>
      <c r="C34" t="s">
        <v>12</v>
      </c>
      <c r="D34" t="str">
        <f>_xlfn.XLOOKUP(C34, Restaurants!$A$2:$A$17, Restaurants!$B$2:$B$17, "Not Listed")</f>
        <v>Mainland China</v>
      </c>
      <c r="E34" t="str">
        <f>IFERROR(INDEX(Restaurants!$C$2:$C$17, MATCH(C34, Restaurants!$A$2:$A$17, 0)), "Not Listed")</f>
        <v>Central</v>
      </c>
      <c r="F34" t="s">
        <v>64</v>
      </c>
      <c r="G34" s="3">
        <v>45386</v>
      </c>
      <c r="H34">
        <v>55</v>
      </c>
      <c r="I34">
        <v>2</v>
      </c>
      <c r="J34" s="2">
        <v>430</v>
      </c>
      <c r="K34" t="s">
        <v>65</v>
      </c>
      <c r="L34">
        <v>1</v>
      </c>
      <c r="M34" t="str">
        <f>IF(OR(H34&lt;'Stats Summary'!$C$14, H34&gt;'Stats Summary'!$C$15), "Yes", "No")</f>
        <v>No</v>
      </c>
    </row>
    <row r="35" spans="1:13" x14ac:dyDescent="0.3">
      <c r="A35" t="s">
        <v>130</v>
      </c>
      <c r="B35" t="s">
        <v>131</v>
      </c>
      <c r="C35" t="s">
        <v>15</v>
      </c>
      <c r="D35" t="str">
        <f>_xlfn.XLOOKUP(C35, Restaurants!$A$2:$A$17, Restaurants!$B$2:$B$17, "Not Listed")</f>
        <v>Sagar Ratna</v>
      </c>
      <c r="E35" t="str">
        <f>IFERROR(INDEX(Restaurants!$C$2:$C$17, MATCH(C35, Restaurants!$A$2:$A$17, 0)), "Not Listed")</f>
        <v>South</v>
      </c>
      <c r="F35" t="s">
        <v>68</v>
      </c>
      <c r="G35" s="3">
        <v>45388</v>
      </c>
      <c r="H35">
        <v>20</v>
      </c>
      <c r="I35">
        <v>5</v>
      </c>
      <c r="J35" s="2">
        <v>330</v>
      </c>
      <c r="K35" t="s">
        <v>58</v>
      </c>
      <c r="L35">
        <v>1</v>
      </c>
      <c r="M35" t="str">
        <f>IF(OR(H35&lt;'Stats Summary'!$C$14, H35&gt;'Stats Summary'!$C$15), "Yes", "No")</f>
        <v>No</v>
      </c>
    </row>
    <row r="36" spans="1:13" x14ac:dyDescent="0.3">
      <c r="A36" t="s">
        <v>132</v>
      </c>
      <c r="B36" t="s">
        <v>133</v>
      </c>
      <c r="C36" t="s">
        <v>18</v>
      </c>
      <c r="D36" t="str">
        <f>_xlfn.XLOOKUP(C36, Restaurants!$A$2:$A$17, Restaurants!$B$2:$B$17, "Not Listed")</f>
        <v>Biryani By Kilo</v>
      </c>
      <c r="E36" t="str">
        <f>IFERROR(INDEX(Restaurants!$C$2:$C$17, MATCH(C36, Restaurants!$A$2:$A$17, 0)), "Not Listed")</f>
        <v>East</v>
      </c>
      <c r="F36" t="s">
        <v>71</v>
      </c>
      <c r="G36" s="3">
        <v>45390</v>
      </c>
      <c r="H36">
        <v>41</v>
      </c>
      <c r="I36">
        <v>4</v>
      </c>
      <c r="J36" s="2">
        <v>810</v>
      </c>
      <c r="K36" t="s">
        <v>58</v>
      </c>
      <c r="L36">
        <v>1</v>
      </c>
      <c r="M36" t="str">
        <f>IF(OR(H36&lt;'Stats Summary'!$C$14, H36&gt;'Stats Summary'!$C$15), "Yes", "No")</f>
        <v>No</v>
      </c>
    </row>
    <row r="37" spans="1:13" x14ac:dyDescent="0.3">
      <c r="A37" t="s">
        <v>134</v>
      </c>
      <c r="B37" t="s">
        <v>135</v>
      </c>
      <c r="C37" t="s">
        <v>22</v>
      </c>
      <c r="D37" t="str">
        <f>_xlfn.XLOOKUP(C37, Restaurants!$A$2:$A$17, Restaurants!$B$2:$B$17, "Not Listed")</f>
        <v>Kake Da Dhaba</v>
      </c>
      <c r="E37" t="str">
        <f>IFERROR(INDEX(Restaurants!$C$2:$C$17, MATCH(C37, Restaurants!$A$2:$A$17, 0)), "Not Listed")</f>
        <v>North</v>
      </c>
      <c r="F37" t="s">
        <v>57</v>
      </c>
      <c r="G37" s="3">
        <v>45392</v>
      </c>
      <c r="H37">
        <v>32</v>
      </c>
      <c r="I37">
        <v>4</v>
      </c>
      <c r="J37" s="2">
        <v>590</v>
      </c>
      <c r="K37" t="s">
        <v>58</v>
      </c>
      <c r="L37">
        <v>1</v>
      </c>
      <c r="M37" t="str">
        <f>IF(OR(H37&lt;'Stats Summary'!$C$14, H37&gt;'Stats Summary'!$C$15), "Yes", "No")</f>
        <v>No</v>
      </c>
    </row>
    <row r="38" spans="1:13" x14ac:dyDescent="0.3">
      <c r="A38" t="s">
        <v>136</v>
      </c>
      <c r="B38" t="s">
        <v>137</v>
      </c>
      <c r="C38" t="s">
        <v>24</v>
      </c>
      <c r="D38" t="str">
        <f>_xlfn.XLOOKUP(C38, Restaurants!$A$2:$A$17, Restaurants!$B$2:$B$17, "Not Listed")</f>
        <v>Toscano Trattoria</v>
      </c>
      <c r="E38" t="str">
        <f>IFERROR(INDEX(Restaurants!$C$2:$C$17, MATCH(C38, Restaurants!$A$2:$A$17, 0)), "Not Listed")</f>
        <v>West</v>
      </c>
      <c r="F38" t="s">
        <v>61</v>
      </c>
      <c r="G38" s="3">
        <v>45394</v>
      </c>
      <c r="H38">
        <v>28</v>
      </c>
      <c r="I38">
        <v>5</v>
      </c>
      <c r="J38" s="2">
        <v>930</v>
      </c>
      <c r="K38" t="s">
        <v>58</v>
      </c>
      <c r="L38">
        <v>1</v>
      </c>
      <c r="M38" t="str">
        <f>IF(OR(H38&lt;'Stats Summary'!$C$14, H38&gt;'Stats Summary'!$C$15), "Yes", "No")</f>
        <v>No</v>
      </c>
    </row>
    <row r="39" spans="1:13" x14ac:dyDescent="0.3">
      <c r="A39" t="s">
        <v>138</v>
      </c>
      <c r="B39" t="s">
        <v>139</v>
      </c>
      <c r="C39" t="s">
        <v>27</v>
      </c>
      <c r="D39" t="str">
        <f>_xlfn.XLOOKUP(C39, Restaurants!$A$2:$A$17, Restaurants!$B$2:$B$17, "Not Listed")</f>
        <v>Noodle Bar</v>
      </c>
      <c r="E39" t="str">
        <f>IFERROR(INDEX(Restaurants!$C$2:$C$17, MATCH(C39, Restaurants!$A$2:$A$17, 0)), "Not Listed")</f>
        <v>West</v>
      </c>
      <c r="F39" t="s">
        <v>64</v>
      </c>
      <c r="G39" s="3">
        <v>45396</v>
      </c>
      <c r="H39">
        <v>36</v>
      </c>
      <c r="I39">
        <v>3</v>
      </c>
      <c r="J39" s="2">
        <v>460</v>
      </c>
      <c r="K39" t="s">
        <v>58</v>
      </c>
      <c r="L39">
        <v>1</v>
      </c>
      <c r="M39" t="str">
        <f>IF(OR(H39&lt;'Stats Summary'!$C$14, H39&gt;'Stats Summary'!$C$15), "Yes", "No")</f>
        <v>No</v>
      </c>
    </row>
    <row r="40" spans="1:13" x14ac:dyDescent="0.3">
      <c r="A40" t="s">
        <v>140</v>
      </c>
      <c r="B40" t="s">
        <v>141</v>
      </c>
      <c r="C40" t="s">
        <v>29</v>
      </c>
      <c r="D40" t="str">
        <f>_xlfn.XLOOKUP(C40, Restaurants!$A$2:$A$17, Restaurants!$B$2:$B$17, "Not Listed")</f>
        <v>Saravana Bhavan</v>
      </c>
      <c r="E40" t="str">
        <f>IFERROR(INDEX(Restaurants!$C$2:$C$17, MATCH(C40, Restaurants!$A$2:$A$17, 0)), "Not Listed")</f>
        <v>Central</v>
      </c>
      <c r="F40" t="s">
        <v>68</v>
      </c>
      <c r="G40" s="3">
        <v>45398</v>
      </c>
      <c r="H40">
        <v>22</v>
      </c>
      <c r="I40">
        <v>5</v>
      </c>
      <c r="J40" s="2">
        <v>350</v>
      </c>
      <c r="K40" t="s">
        <v>58</v>
      </c>
      <c r="L40">
        <v>1</v>
      </c>
      <c r="M40" t="str">
        <f>IF(OR(H40&lt;'Stats Summary'!$C$14, H40&gt;'Stats Summary'!$C$15), "Yes", "No")</f>
        <v>No</v>
      </c>
    </row>
    <row r="41" spans="1:13" x14ac:dyDescent="0.3">
      <c r="A41" t="s">
        <v>142</v>
      </c>
      <c r="B41" t="s">
        <v>143</v>
      </c>
      <c r="C41" t="s">
        <v>31</v>
      </c>
      <c r="D41" t="str">
        <f>_xlfn.XLOOKUP(C41, Restaurants!$A$2:$A$17, Restaurants!$B$2:$B$17, "Not Listed")</f>
        <v>Behrouz Biryani</v>
      </c>
      <c r="E41" t="str">
        <f>IFERROR(INDEX(Restaurants!$C$2:$C$17, MATCH(C41, Restaurants!$A$2:$A$17, 0)), "Not Listed")</f>
        <v>North</v>
      </c>
      <c r="F41" t="s">
        <v>71</v>
      </c>
      <c r="G41" s="3">
        <v>45400</v>
      </c>
      <c r="H41">
        <v>88</v>
      </c>
      <c r="I41">
        <v>2</v>
      </c>
      <c r="J41" s="2">
        <v>860</v>
      </c>
      <c r="K41" t="s">
        <v>65</v>
      </c>
      <c r="L41">
        <v>1</v>
      </c>
      <c r="M41" t="str">
        <f>IF(OR(H41&lt;'Stats Summary'!$C$14, H41&gt;'Stats Summary'!$C$15), "Yes", "No")</f>
        <v>Yes</v>
      </c>
    </row>
    <row r="42" spans="1:13" x14ac:dyDescent="0.3">
      <c r="A42" t="s">
        <v>144</v>
      </c>
      <c r="B42" t="s">
        <v>145</v>
      </c>
      <c r="C42" t="s">
        <v>33</v>
      </c>
      <c r="D42" t="str">
        <f>_xlfn.XLOOKUP(C42, Restaurants!$A$2:$A$17, Restaurants!$B$2:$B$17, "Not Listed")</f>
        <v>Moti Mahal Delux</v>
      </c>
      <c r="E42" t="str">
        <f>IFERROR(INDEX(Restaurants!$C$2:$C$17, MATCH(C42, Restaurants!$A$2:$A$17, 0)), "Not Listed")</f>
        <v>Central</v>
      </c>
      <c r="F42" t="s">
        <v>57</v>
      </c>
      <c r="G42" s="3">
        <v>45402</v>
      </c>
      <c r="H42">
        <v>27</v>
      </c>
      <c r="I42">
        <v>5</v>
      </c>
      <c r="J42" s="2">
        <v>680</v>
      </c>
      <c r="K42" t="s">
        <v>58</v>
      </c>
      <c r="L42">
        <v>1</v>
      </c>
      <c r="M42" t="str">
        <f>IF(OR(H42&lt;'Stats Summary'!$C$14, H42&gt;'Stats Summary'!$C$15), "Yes", "No")</f>
        <v>No</v>
      </c>
    </row>
    <row r="43" spans="1:13" x14ac:dyDescent="0.3">
      <c r="A43" t="s">
        <v>146</v>
      </c>
      <c r="B43" t="s">
        <v>147</v>
      </c>
      <c r="C43" t="s">
        <v>35</v>
      </c>
      <c r="D43" t="str">
        <f>_xlfn.XLOOKUP(C43, Restaurants!$A$2:$A$17, Restaurants!$B$2:$B$17, "Not Listed")</f>
        <v>Little Italy</v>
      </c>
      <c r="E43" t="str">
        <f>IFERROR(INDEX(Restaurants!$C$2:$C$17, MATCH(C43, Restaurants!$A$2:$A$17, 0)), "Not Listed")</f>
        <v>East</v>
      </c>
      <c r="F43" t="s">
        <v>61</v>
      </c>
      <c r="G43" s="3">
        <v>45404</v>
      </c>
      <c r="H43">
        <v>33</v>
      </c>
      <c r="I43">
        <v>4</v>
      </c>
      <c r="J43" s="2">
        <v>720</v>
      </c>
      <c r="K43" t="s">
        <v>58</v>
      </c>
      <c r="L43">
        <v>1</v>
      </c>
      <c r="M43" t="str">
        <f>IF(OR(H43&lt;'Stats Summary'!$C$14, H43&gt;'Stats Summary'!$C$15), "Yes", "No")</f>
        <v>No</v>
      </c>
    </row>
    <row r="44" spans="1:13" x14ac:dyDescent="0.3">
      <c r="A44" t="s">
        <v>148</v>
      </c>
      <c r="B44" t="s">
        <v>149</v>
      </c>
      <c r="C44" t="s">
        <v>37</v>
      </c>
      <c r="D44" t="str">
        <f>_xlfn.XLOOKUP(C44, Restaurants!$A$2:$A$17, Restaurants!$B$2:$B$17, "Not Listed")</f>
        <v>Wok Express</v>
      </c>
      <c r="E44" t="str">
        <f>IFERROR(INDEX(Restaurants!$C$2:$C$17, MATCH(C44, Restaurants!$A$2:$A$17, 0)), "Not Listed")</f>
        <v>East</v>
      </c>
      <c r="F44" t="s">
        <v>64</v>
      </c>
      <c r="G44" s="3">
        <v>45405</v>
      </c>
      <c r="H44">
        <v>49</v>
      </c>
      <c r="I44">
        <v>3</v>
      </c>
      <c r="J44" s="2">
        <v>370</v>
      </c>
      <c r="K44" t="s">
        <v>58</v>
      </c>
      <c r="L44">
        <v>1</v>
      </c>
      <c r="M44" t="str">
        <f>IF(OR(H44&lt;'Stats Summary'!$C$14, H44&gt;'Stats Summary'!$C$15), "Yes", "No")</f>
        <v>No</v>
      </c>
    </row>
    <row r="45" spans="1:13" x14ac:dyDescent="0.3">
      <c r="A45" t="s">
        <v>150</v>
      </c>
      <c r="B45" t="s">
        <v>151</v>
      </c>
      <c r="C45" t="s">
        <v>39</v>
      </c>
      <c r="D45" t="str">
        <f>_xlfn.XLOOKUP(C45, Restaurants!$A$2:$A$17, Restaurants!$B$2:$B$17, "Not Listed")</f>
        <v>Madras Cafe</v>
      </c>
      <c r="E45" t="str">
        <f>IFERROR(INDEX(Restaurants!$C$2:$C$17, MATCH(C45, Restaurants!$A$2:$A$17, 0)), "Not Listed")</f>
        <v>West</v>
      </c>
      <c r="F45" t="s">
        <v>68</v>
      </c>
      <c r="G45" s="3">
        <v>45406</v>
      </c>
      <c r="H45">
        <v>25</v>
      </c>
      <c r="I45">
        <v>4</v>
      </c>
      <c r="J45" s="2">
        <v>290</v>
      </c>
      <c r="K45" t="s">
        <v>58</v>
      </c>
      <c r="L45">
        <v>1</v>
      </c>
      <c r="M45" t="str">
        <f>IF(OR(H45&lt;'Stats Summary'!$C$14, H45&gt;'Stats Summary'!$C$15), "Yes", "No")</f>
        <v>No</v>
      </c>
    </row>
    <row r="46" spans="1:13" x14ac:dyDescent="0.3">
      <c r="A46" t="s">
        <v>152</v>
      </c>
      <c r="B46" t="s">
        <v>153</v>
      </c>
      <c r="C46" t="s">
        <v>41</v>
      </c>
      <c r="D46" t="str">
        <f>_xlfn.XLOOKUP(C46, Restaurants!$A$2:$A$17, Restaurants!$B$2:$B$17, "Not Listed")</f>
        <v>Paradise Biryani</v>
      </c>
      <c r="E46" t="str">
        <f>IFERROR(INDEX(Restaurants!$C$2:$C$17, MATCH(C46, Restaurants!$A$2:$A$17, 0)), "Not Listed")</f>
        <v>South</v>
      </c>
      <c r="F46" t="s">
        <v>71</v>
      </c>
      <c r="G46" s="3">
        <v>45407</v>
      </c>
      <c r="H46">
        <v>38</v>
      </c>
      <c r="I46">
        <v>5</v>
      </c>
      <c r="J46" s="2">
        <v>910</v>
      </c>
      <c r="K46" t="s">
        <v>58</v>
      </c>
      <c r="L46">
        <v>1</v>
      </c>
      <c r="M46" t="str">
        <f>IF(OR(H46&lt;'Stats Summary'!$C$14, H46&gt;'Stats Summary'!$C$15), "Yes", "No")</f>
        <v>No</v>
      </c>
    </row>
    <row r="47" spans="1:13" x14ac:dyDescent="0.3">
      <c r="A47" t="s">
        <v>154</v>
      </c>
      <c r="B47" t="s">
        <v>155</v>
      </c>
      <c r="C47" t="s">
        <v>5</v>
      </c>
      <c r="D47" t="str">
        <f>_xlfn.XLOOKUP(C47, Restaurants!$A$2:$A$17, Restaurants!$B$2:$B$17, "Not Listed")</f>
        <v>Punjab Grill</v>
      </c>
      <c r="E47" t="str">
        <f>IFERROR(INDEX(Restaurants!$C$2:$C$17, MATCH(C47, Restaurants!$A$2:$A$17, 0)), "Not Listed")</f>
        <v>North</v>
      </c>
      <c r="F47" t="s">
        <v>57</v>
      </c>
      <c r="G47" s="3">
        <v>45408</v>
      </c>
      <c r="H47">
        <v>24</v>
      </c>
      <c r="I47">
        <v>5</v>
      </c>
      <c r="J47" s="2">
        <v>790</v>
      </c>
      <c r="K47" t="s">
        <v>58</v>
      </c>
      <c r="L47">
        <v>1</v>
      </c>
      <c r="M47" t="str">
        <f>IF(OR(H47&lt;'Stats Summary'!$C$14, H47&gt;'Stats Summary'!$C$15), "Yes", "No")</f>
        <v>No</v>
      </c>
    </row>
    <row r="48" spans="1:13" x14ac:dyDescent="0.3">
      <c r="A48" t="s">
        <v>156</v>
      </c>
      <c r="B48" t="s">
        <v>157</v>
      </c>
      <c r="C48" t="s">
        <v>9</v>
      </c>
      <c r="D48" t="str">
        <f>_xlfn.XLOOKUP(C48, Restaurants!$A$2:$A$17, Restaurants!$B$2:$B$17, "Not Listed")</f>
        <v>Bella Italia</v>
      </c>
      <c r="E48" t="str">
        <f>IFERROR(INDEX(Restaurants!$C$2:$C$17, MATCH(C48, Restaurants!$A$2:$A$17, 0)), "Not Listed")</f>
        <v>South</v>
      </c>
      <c r="F48" t="s">
        <v>61</v>
      </c>
      <c r="G48" s="3">
        <v>45409</v>
      </c>
      <c r="H48">
        <v>35</v>
      </c>
      <c r="I48">
        <v>4</v>
      </c>
      <c r="J48" s="2">
        <v>630</v>
      </c>
      <c r="K48" t="s">
        <v>58</v>
      </c>
      <c r="L48">
        <v>1</v>
      </c>
      <c r="M48" t="str">
        <f>IF(OR(H48&lt;'Stats Summary'!$C$14, H48&gt;'Stats Summary'!$C$15), "Yes", "No")</f>
        <v>No</v>
      </c>
    </row>
    <row r="49" spans="1:13" x14ac:dyDescent="0.3">
      <c r="A49" t="s">
        <v>158</v>
      </c>
      <c r="B49" t="s">
        <v>159</v>
      </c>
      <c r="C49" t="s">
        <v>12</v>
      </c>
      <c r="D49" t="str">
        <f>_xlfn.XLOOKUP(C49, Restaurants!$A$2:$A$17, Restaurants!$B$2:$B$17, "Not Listed")</f>
        <v>Mainland China</v>
      </c>
      <c r="E49" t="str">
        <f>IFERROR(INDEX(Restaurants!$C$2:$C$17, MATCH(C49, Restaurants!$A$2:$A$17, 0)), "Not Listed")</f>
        <v>Central</v>
      </c>
      <c r="F49" t="s">
        <v>64</v>
      </c>
      <c r="G49" s="3">
        <v>45410</v>
      </c>
      <c r="H49">
        <v>29</v>
      </c>
      <c r="I49">
        <v>4</v>
      </c>
      <c r="J49" s="2">
        <v>510</v>
      </c>
      <c r="K49" t="s">
        <v>58</v>
      </c>
      <c r="L49">
        <v>1</v>
      </c>
      <c r="M49" t="str">
        <f>IF(OR(H49&lt;'Stats Summary'!$C$14, H49&gt;'Stats Summary'!$C$15), "Yes", "No")</f>
        <v>No</v>
      </c>
    </row>
    <row r="50" spans="1:13" x14ac:dyDescent="0.3">
      <c r="A50" t="s">
        <v>160</v>
      </c>
      <c r="B50" t="s">
        <v>161</v>
      </c>
      <c r="C50" t="s">
        <v>15</v>
      </c>
      <c r="D50" t="str">
        <f>_xlfn.XLOOKUP(C50, Restaurants!$A$2:$A$17, Restaurants!$B$2:$B$17, "Not Listed")</f>
        <v>Sagar Ratna</v>
      </c>
      <c r="E50" t="str">
        <f>IFERROR(INDEX(Restaurants!$C$2:$C$17, MATCH(C50, Restaurants!$A$2:$A$17, 0)), "Not Listed")</f>
        <v>South</v>
      </c>
      <c r="F50" t="s">
        <v>68</v>
      </c>
      <c r="G50" s="3">
        <v>45410</v>
      </c>
      <c r="H50">
        <v>19</v>
      </c>
      <c r="I50">
        <v>5</v>
      </c>
      <c r="J50" s="2">
        <v>310</v>
      </c>
      <c r="K50" t="s">
        <v>58</v>
      </c>
      <c r="L50">
        <v>1</v>
      </c>
      <c r="M50" t="str">
        <f>IF(OR(H50&lt;'Stats Summary'!$C$14, H50&gt;'Stats Summary'!$C$15), "Yes", "No")</f>
        <v>No</v>
      </c>
    </row>
    <row r="51" spans="1:13" x14ac:dyDescent="0.3">
      <c r="A51" t="s">
        <v>162</v>
      </c>
      <c r="B51" t="s">
        <v>163</v>
      </c>
      <c r="C51" t="s">
        <v>18</v>
      </c>
      <c r="D51" t="str">
        <f>_xlfn.XLOOKUP(C51, Restaurants!$A$2:$A$17, Restaurants!$B$2:$B$17, "Not Listed")</f>
        <v>Biryani By Kilo</v>
      </c>
      <c r="E51" t="str">
        <f>IFERROR(INDEX(Restaurants!$C$2:$C$17, MATCH(C51, Restaurants!$A$2:$A$17, 0)), "Not Listed")</f>
        <v>East</v>
      </c>
      <c r="F51" t="s">
        <v>71</v>
      </c>
      <c r="G51" s="3">
        <v>45411</v>
      </c>
      <c r="H51">
        <v>43</v>
      </c>
      <c r="I51">
        <v>3</v>
      </c>
      <c r="J51" s="2">
        <v>770</v>
      </c>
      <c r="K51" t="s">
        <v>58</v>
      </c>
      <c r="L51">
        <v>1</v>
      </c>
      <c r="M51" t="str">
        <f>IF(OR(H51&lt;'Stats Summary'!$C$14, H51&gt;'Stats Summary'!$C$15), "Yes", "No")</f>
        <v>No</v>
      </c>
    </row>
    <row r="52" spans="1:13" x14ac:dyDescent="0.3">
      <c r="A52" t="s">
        <v>164</v>
      </c>
      <c r="B52" t="s">
        <v>165</v>
      </c>
      <c r="C52" t="s">
        <v>22</v>
      </c>
      <c r="D52" t="str">
        <f>_xlfn.XLOOKUP(C52, Restaurants!$A$2:$A$17, Restaurants!$B$2:$B$17, "Not Listed")</f>
        <v>Kake Da Dhaba</v>
      </c>
      <c r="E52" t="str">
        <f>IFERROR(INDEX(Restaurants!$C$2:$C$17, MATCH(C52, Restaurants!$A$2:$A$17, 0)), "Not Listed")</f>
        <v>North</v>
      </c>
      <c r="F52" t="s">
        <v>57</v>
      </c>
      <c r="G52" s="3">
        <v>45411</v>
      </c>
      <c r="H52">
        <v>31</v>
      </c>
      <c r="I52">
        <v>4</v>
      </c>
      <c r="J52" s="2">
        <v>550</v>
      </c>
      <c r="K52" t="s">
        <v>58</v>
      </c>
      <c r="L52">
        <v>1</v>
      </c>
      <c r="M52" t="str">
        <f>IF(OR(H52&lt;'Stats Summary'!$C$14, H52&gt;'Stats Summary'!$C$15), "Yes", "No")</f>
        <v>No</v>
      </c>
    </row>
    <row r="53" spans="1:13" x14ac:dyDescent="0.3">
      <c r="A53" t="s">
        <v>166</v>
      </c>
      <c r="B53" t="s">
        <v>167</v>
      </c>
      <c r="C53" t="s">
        <v>24</v>
      </c>
      <c r="D53" t="str">
        <f>_xlfn.XLOOKUP(C53, Restaurants!$A$2:$A$17, Restaurants!$B$2:$B$17, "Not Listed")</f>
        <v>Toscano Trattoria</v>
      </c>
      <c r="E53" t="str">
        <f>IFERROR(INDEX(Restaurants!$C$2:$C$17, MATCH(C53, Restaurants!$A$2:$A$17, 0)), "Not Listed")</f>
        <v>West</v>
      </c>
      <c r="F53" t="s">
        <v>61</v>
      </c>
      <c r="G53" s="3">
        <v>45412</v>
      </c>
      <c r="H53">
        <v>29</v>
      </c>
      <c r="I53">
        <v>5</v>
      </c>
      <c r="J53" s="2">
        <v>870</v>
      </c>
      <c r="K53" t="s">
        <v>58</v>
      </c>
      <c r="L53">
        <v>1</v>
      </c>
      <c r="M53" t="str">
        <f>IF(OR(H53&lt;'Stats Summary'!$C$14, H53&gt;'Stats Summary'!$C$15), "Yes", "No")</f>
        <v>No</v>
      </c>
    </row>
    <row r="54" spans="1:13" x14ac:dyDescent="0.3">
      <c r="A54" t="s">
        <v>168</v>
      </c>
      <c r="B54" t="s">
        <v>169</v>
      </c>
      <c r="C54" t="s">
        <v>27</v>
      </c>
      <c r="D54" t="str">
        <f>_xlfn.XLOOKUP(C54, Restaurants!$A$2:$A$17, Restaurants!$B$2:$B$17, "Not Listed")</f>
        <v>Noodle Bar</v>
      </c>
      <c r="E54" t="str">
        <f>IFERROR(INDEX(Restaurants!$C$2:$C$17, MATCH(C54, Restaurants!$A$2:$A$17, 0)), "Not Listed")</f>
        <v>West</v>
      </c>
      <c r="F54" t="s">
        <v>64</v>
      </c>
      <c r="G54" s="3">
        <v>45412</v>
      </c>
      <c r="H54">
        <v>62</v>
      </c>
      <c r="I54">
        <v>1</v>
      </c>
      <c r="J54" s="2">
        <v>400</v>
      </c>
      <c r="K54" t="s">
        <v>109</v>
      </c>
      <c r="L54">
        <v>1</v>
      </c>
      <c r="M54" t="str">
        <f>IF(OR(H54&lt;'Stats Summary'!$C$14, H54&gt;'Stats Summary'!$C$15), "Yes", "No")</f>
        <v>Yes</v>
      </c>
    </row>
    <row r="55" spans="1:13" x14ac:dyDescent="0.3">
      <c r="A55" t="s">
        <v>170</v>
      </c>
      <c r="B55" t="s">
        <v>171</v>
      </c>
      <c r="C55" t="s">
        <v>29</v>
      </c>
      <c r="D55" t="str">
        <f>_xlfn.XLOOKUP(C55, Restaurants!$A$2:$A$17, Restaurants!$B$2:$B$17, "Not Listed")</f>
        <v>Saravana Bhavan</v>
      </c>
      <c r="E55" t="str">
        <f>IFERROR(INDEX(Restaurants!$C$2:$C$17, MATCH(C55, Restaurants!$A$2:$A$17, 0)), "Not Listed")</f>
        <v>Central</v>
      </c>
      <c r="F55" t="s">
        <v>68</v>
      </c>
      <c r="G55" s="3">
        <v>45412</v>
      </c>
      <c r="H55">
        <v>21</v>
      </c>
      <c r="I55">
        <v>5</v>
      </c>
      <c r="J55" s="2">
        <v>330</v>
      </c>
      <c r="K55" t="s">
        <v>58</v>
      </c>
      <c r="L55">
        <v>1</v>
      </c>
      <c r="M55" t="str">
        <f>IF(OR(H55&lt;'Stats Summary'!$C$14, H55&gt;'Stats Summary'!$C$15), "Yes", "No")</f>
        <v>No</v>
      </c>
    </row>
    <row r="56" spans="1:13" x14ac:dyDescent="0.3">
      <c r="A56" t="s">
        <v>172</v>
      </c>
      <c r="B56" t="s">
        <v>173</v>
      </c>
      <c r="C56" t="s">
        <v>31</v>
      </c>
      <c r="D56" t="str">
        <f>_xlfn.XLOOKUP(C56, Restaurants!$A$2:$A$17, Restaurants!$B$2:$B$17, "Not Listed")</f>
        <v>Behrouz Biryani</v>
      </c>
      <c r="E56" t="str">
        <f>IFERROR(INDEX(Restaurants!$C$2:$C$17, MATCH(C56, Restaurants!$A$2:$A$17, 0)), "Not Listed")</f>
        <v>North</v>
      </c>
      <c r="F56" t="s">
        <v>71</v>
      </c>
      <c r="G56" s="3">
        <v>45412</v>
      </c>
      <c r="H56">
        <v>39</v>
      </c>
      <c r="I56">
        <v>4</v>
      </c>
      <c r="J56" s="2">
        <v>830</v>
      </c>
      <c r="K56" t="s">
        <v>58</v>
      </c>
      <c r="L56">
        <v>1</v>
      </c>
      <c r="M56" t="str">
        <f>IF(OR(H56&lt;'Stats Summary'!$C$14, H56&gt;'Stats Summary'!$C$15), "Yes", "No")</f>
        <v>No</v>
      </c>
    </row>
    <row r="57" spans="1:13" x14ac:dyDescent="0.3">
      <c r="A57" t="s">
        <v>174</v>
      </c>
      <c r="B57" t="s">
        <v>175</v>
      </c>
      <c r="C57" t="s">
        <v>33</v>
      </c>
      <c r="D57" t="str">
        <f>_xlfn.XLOOKUP(C57, Restaurants!$A$2:$A$17, Restaurants!$B$2:$B$17, "Not Listed")</f>
        <v>Moti Mahal Delux</v>
      </c>
      <c r="E57" t="str">
        <f>IFERROR(INDEX(Restaurants!$C$2:$C$17, MATCH(C57, Restaurants!$A$2:$A$17, 0)), "Not Listed")</f>
        <v>Central</v>
      </c>
      <c r="F57" t="s">
        <v>57</v>
      </c>
      <c r="G57" s="3">
        <v>45412</v>
      </c>
      <c r="H57">
        <v>28</v>
      </c>
      <c r="I57">
        <v>4</v>
      </c>
      <c r="J57" s="2">
        <v>610</v>
      </c>
      <c r="K57" t="s">
        <v>58</v>
      </c>
      <c r="L57">
        <v>1</v>
      </c>
      <c r="M57" t="str">
        <f>IF(OR(H57&lt;'Stats Summary'!$C$14, H57&gt;'Stats Summary'!$C$15), "Yes", "No")</f>
        <v>No</v>
      </c>
    </row>
    <row r="58" spans="1:13" x14ac:dyDescent="0.3">
      <c r="A58" t="s">
        <v>176</v>
      </c>
      <c r="B58" t="s">
        <v>177</v>
      </c>
      <c r="C58" t="s">
        <v>35</v>
      </c>
      <c r="D58" t="str">
        <f>_xlfn.XLOOKUP(C58, Restaurants!$A$2:$A$17, Restaurants!$B$2:$B$17, "Not Listed")</f>
        <v>Little Italy</v>
      </c>
      <c r="E58" t="str">
        <f>IFERROR(INDEX(Restaurants!$C$2:$C$17, MATCH(C58, Restaurants!$A$2:$A$17, 0)), "Not Listed")</f>
        <v>East</v>
      </c>
      <c r="F58" t="s">
        <v>61</v>
      </c>
      <c r="G58" s="3">
        <v>45412</v>
      </c>
      <c r="H58">
        <v>32</v>
      </c>
      <c r="I58">
        <v>4</v>
      </c>
      <c r="J58" s="2">
        <v>740</v>
      </c>
      <c r="K58" t="s">
        <v>58</v>
      </c>
      <c r="L58">
        <v>1</v>
      </c>
      <c r="M58" t="str">
        <f>IF(OR(H58&lt;'Stats Summary'!$C$14, H58&gt;'Stats Summary'!$C$15), "Yes", "No")</f>
        <v>No</v>
      </c>
    </row>
    <row r="59" spans="1:13" x14ac:dyDescent="0.3">
      <c r="A59" t="s">
        <v>178</v>
      </c>
      <c r="B59" t="s">
        <v>179</v>
      </c>
      <c r="C59" t="s">
        <v>37</v>
      </c>
      <c r="D59" t="str">
        <f>_xlfn.XLOOKUP(C59, Restaurants!$A$2:$A$17, Restaurants!$B$2:$B$17, "Not Listed")</f>
        <v>Wok Express</v>
      </c>
      <c r="E59" t="str">
        <f>IFERROR(INDEX(Restaurants!$C$2:$C$17, MATCH(C59, Restaurants!$A$2:$A$17, 0)), "Not Listed")</f>
        <v>East</v>
      </c>
      <c r="F59" t="s">
        <v>64</v>
      </c>
      <c r="G59" s="3">
        <v>45412</v>
      </c>
      <c r="H59">
        <v>47</v>
      </c>
      <c r="I59">
        <v>3</v>
      </c>
      <c r="J59" s="2">
        <v>380</v>
      </c>
      <c r="K59" t="s">
        <v>58</v>
      </c>
      <c r="L59">
        <v>1</v>
      </c>
      <c r="M59" t="str">
        <f>IF(OR(H59&lt;'Stats Summary'!$C$14, H59&gt;'Stats Summary'!$C$15), "Yes", "No")</f>
        <v>No</v>
      </c>
    </row>
    <row r="60" spans="1:13" x14ac:dyDescent="0.3">
      <c r="A60" t="s">
        <v>180</v>
      </c>
      <c r="B60" t="s">
        <v>181</v>
      </c>
      <c r="C60" t="s">
        <v>39</v>
      </c>
      <c r="D60" t="str">
        <f>_xlfn.XLOOKUP(C60, Restaurants!$A$2:$A$17, Restaurants!$B$2:$B$17, "Not Listed")</f>
        <v>Madras Cafe</v>
      </c>
      <c r="E60" t="str">
        <f>IFERROR(INDEX(Restaurants!$C$2:$C$17, MATCH(C60, Restaurants!$A$2:$A$17, 0)), "Not Listed")</f>
        <v>West</v>
      </c>
      <c r="F60" t="s">
        <v>68</v>
      </c>
      <c r="G60" s="3">
        <v>45412</v>
      </c>
      <c r="H60">
        <v>22</v>
      </c>
      <c r="I60">
        <v>5</v>
      </c>
      <c r="J60" s="2">
        <v>300</v>
      </c>
      <c r="K60" t="s">
        <v>58</v>
      </c>
      <c r="L60">
        <v>1</v>
      </c>
      <c r="M60" t="str">
        <f>IF(OR(H60&lt;'Stats Summary'!$C$14, H60&gt;'Stats Summary'!$C$15), "Yes", "No")</f>
        <v>No</v>
      </c>
    </row>
    <row r="61" spans="1:13" x14ac:dyDescent="0.3">
      <c r="A61" t="s">
        <v>182</v>
      </c>
      <c r="B61" t="s">
        <v>183</v>
      </c>
      <c r="C61" t="s">
        <v>41</v>
      </c>
      <c r="D61" t="str">
        <f>_xlfn.XLOOKUP(C61, Restaurants!$A$2:$A$17, Restaurants!$B$2:$B$17, "Not Listed")</f>
        <v>Paradise Biryani</v>
      </c>
      <c r="E61" t="str">
        <f>IFERROR(INDEX(Restaurants!$C$2:$C$17, MATCH(C61, Restaurants!$A$2:$A$17, 0)), "Not Listed")</f>
        <v>South</v>
      </c>
      <c r="F61" t="s">
        <v>71</v>
      </c>
      <c r="G61" s="3">
        <v>45412</v>
      </c>
      <c r="H61">
        <v>37</v>
      </c>
      <c r="I61">
        <v>5</v>
      </c>
      <c r="J61" s="2">
        <v>940</v>
      </c>
      <c r="K61" t="s">
        <v>58</v>
      </c>
      <c r="L61">
        <v>1</v>
      </c>
      <c r="M61" t="str">
        <f>IF(OR(H61&lt;'Stats Summary'!$C$14, H61&gt;'Stats Summary'!$C$15), "Yes", "No")</f>
        <v>No</v>
      </c>
    </row>
    <row r="64" spans="1:13" ht="15.6" x14ac:dyDescent="0.3">
      <c r="A64" s="4" t="s">
        <v>184</v>
      </c>
    </row>
    <row r="65" spans="1:2" x14ac:dyDescent="0.3">
      <c r="A65" s="6" t="s">
        <v>2</v>
      </c>
      <c r="B65" s="6" t="s">
        <v>185</v>
      </c>
    </row>
    <row r="66" spans="1:2" x14ac:dyDescent="0.3">
      <c r="A66" s="7" t="s">
        <v>7</v>
      </c>
      <c r="B66" s="8">
        <f>AVERAGEIF($E$2:$E$61, A66, $J$2:$J$61)</f>
        <v>704.16666666666663</v>
      </c>
    </row>
    <row r="67" spans="1:2" x14ac:dyDescent="0.3">
      <c r="A67" s="7" t="s">
        <v>11</v>
      </c>
      <c r="B67" s="8">
        <f>AVERAGEIF($E$2:$E$61, A67, $J$2:$J$61)</f>
        <v>610</v>
      </c>
    </row>
    <row r="68" spans="1:2" x14ac:dyDescent="0.3">
      <c r="A68" s="7" t="s">
        <v>20</v>
      </c>
      <c r="B68" s="8">
        <f>AVERAGEIF($E$2:$E$61, A68, $J$2:$J$61)</f>
        <v>658.33333333333337</v>
      </c>
    </row>
    <row r="69" spans="1:2" x14ac:dyDescent="0.3">
      <c r="A69" s="7" t="s">
        <v>26</v>
      </c>
      <c r="B69" s="8">
        <f>AVERAGEIF($E$2:$E$61, A69, $J$2:$J$61)</f>
        <v>532.5</v>
      </c>
    </row>
    <row r="70" spans="1:2" x14ac:dyDescent="0.3">
      <c r="A70" s="7" t="s">
        <v>14</v>
      </c>
      <c r="B70" s="8">
        <f>AVERAGEIF($E$2:$E$61, A70, $J$2:$J$61)</f>
        <v>486.66666666666669</v>
      </c>
    </row>
  </sheetData>
  <conditionalFormatting sqref="H2:H61">
    <cfRule type="colorScale" priority="1">
      <colorScale>
        <cfvo type="num" val="30"/>
        <cfvo type="num" val="40"/>
        <cfvo type="num" val="55"/>
        <color rgb="FF80CC66"/>
        <color rgb="FFFFB050"/>
        <color rgb="FFFF6666"/>
      </colorScale>
    </cfRule>
  </conditionalFormatting>
  <dataValidations count="2">
    <dataValidation type="list" allowBlank="1" showInputMessage="1" showErrorMessage="1" errorTitle="Invalid Cuisine" error="Please select a valid cuisine from the dropdown list." promptTitle="Select Cuisine" prompt="Choose from: North Indian, Italian, Chinese, South Indian, Biryani" sqref="F2:F61" xr:uid="{F8ACFCA5-28C5-46E0-86BA-A903CB4173C8}">
      <formula1>"North Indian,Italian,Chinese,South Indian,Biryani"</formula1>
    </dataValidation>
    <dataValidation type="whole" allowBlank="1" showInputMessage="1" showErrorMessage="1" errorTitle="Invalid Rating" error="Rating must be a whole number between 1 and 5." promptTitle="Enter Rating" prompt="Please enter an integer rating between 1 and 5." sqref="I2:I61" xr:uid="{3EF8BA53-B45C-4524-86F6-AC1160FD18EA}">
      <formula1>1</formula1>
      <formula2>5</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Dashboard</vt:lpstr>
      <vt:lpstr>Stats Summary</vt:lpstr>
      <vt:lpstr>Premium Orders</vt:lpstr>
      <vt:lpstr>Restaurants</vt:lpstr>
      <vt:lpstr>Orders</vt:lpstr>
      <vt:lpstr>'Premium Orders'!Criteria</vt:lpstr>
      <vt:lpstr>'Premium Orders'!Extract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Sarkhedi Mahek Sureshbhai</dc:creator>
  <cp:lastModifiedBy>Sarkhedi Mahek Sureshbhai</cp:lastModifiedBy>
  <dcterms:created xsi:type="dcterms:W3CDTF">2026-10-03T07:09:14Z</dcterms:created>
  <dcterms:modified xsi:type="dcterms:W3CDTF">2026-10-03T11:52:12Z</dcterms:modified>
</cp:coreProperties>
</file>