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c3f283b6372641a8/Documents/SESSION 14/"/>
    </mc:Choice>
  </mc:AlternateContent>
  <xr:revisionPtr revIDLastSave="1" documentId="11_99006F7FBD46D3C2594CEAF7BA9D67927DF407C6" xr6:coauthVersionLast="47" xr6:coauthVersionMax="47" xr10:uidLastSave="{BC5CC113-3775-400E-9FFD-3EB8B9601E02}"/>
  <bookViews>
    <workbookView xWindow="-110" yWindow="-110" windowWidth="19420" windowHeight="11020" xr2:uid="{00000000-000D-0000-FFFF-FFFF00000000}"/>
  </bookViews>
  <sheets>
    <sheet name="Raw Orders Dataset" sheetId="1" r:id="rId1"/>
    <sheet name="Task 1 - Month &amp; Year" sheetId="2" r:id="rId2"/>
    <sheet name="Task 2 - Group by Quarter" sheetId="3" r:id="rId3"/>
    <sheet name="Task 3 - Calculated Field" sheetId="4" r:id="rId4"/>
    <sheet name="Task 4 - Slicer Filter" sheetId="5" r:id="rId5"/>
    <sheet name="Task 5 - Drill Down (Q3 Orders)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4" i="6" l="1"/>
  <c r="C18" i="5"/>
  <c r="B18" i="5"/>
  <c r="C17" i="4"/>
  <c r="D17" i="4" s="1"/>
  <c r="B17" i="4"/>
  <c r="E16" i="4"/>
  <c r="D16" i="4"/>
  <c r="E15" i="4"/>
  <c r="D15" i="4"/>
  <c r="E14" i="4"/>
  <c r="D14" i="4"/>
  <c r="E13" i="4"/>
  <c r="D13" i="4"/>
  <c r="E12" i="4"/>
  <c r="D12" i="4"/>
  <c r="E11" i="4"/>
  <c r="D11" i="4"/>
  <c r="E10" i="4"/>
  <c r="D10" i="4"/>
  <c r="E9" i="4"/>
  <c r="D9" i="4"/>
  <c r="E8" i="4"/>
  <c r="D8" i="4"/>
  <c r="E7" i="4"/>
  <c r="D7" i="4"/>
  <c r="E6" i="4"/>
  <c r="D6" i="4"/>
  <c r="E5" i="4"/>
  <c r="D5" i="4"/>
  <c r="D9" i="3"/>
  <c r="C9" i="3"/>
  <c r="E8" i="3"/>
  <c r="E7" i="3"/>
  <c r="E6" i="3"/>
  <c r="E5" i="3"/>
  <c r="C17" i="2"/>
  <c r="B17" i="2"/>
  <c r="D16" i="2"/>
  <c r="D15" i="2"/>
  <c r="D14" i="2"/>
  <c r="D13" i="2"/>
  <c r="D12" i="2"/>
  <c r="D11" i="2"/>
  <c r="D10" i="2"/>
  <c r="D9" i="2"/>
  <c r="D8" i="2"/>
  <c r="D7" i="2"/>
  <c r="D6" i="2"/>
  <c r="D5" i="2"/>
  <c r="D17" i="2" s="1"/>
  <c r="E17" i="4" l="1"/>
</calcChain>
</file>

<file path=xl/sharedStrings.xml><?xml version="1.0" encoding="utf-8"?>
<sst xmlns="http://schemas.openxmlformats.org/spreadsheetml/2006/main" count="714" uniqueCount="298">
  <si>
    <t>Zomato / Swiggy Daily Food Delivery Orders (Master Dataset)</t>
  </si>
  <si>
    <t>Order ID</t>
  </si>
  <si>
    <t>Order Date</t>
  </si>
  <si>
    <t>Year</t>
  </si>
  <si>
    <t>Month</t>
  </si>
  <si>
    <t>Restaurant Name</t>
  </si>
  <si>
    <t>City</t>
  </si>
  <si>
    <t>Items Count</t>
  </si>
  <si>
    <t>Amount (₹)</t>
  </si>
  <si>
    <t>ZOM-1094</t>
  </si>
  <si>
    <t>2023-01-29</t>
  </si>
  <si>
    <t>January</t>
  </si>
  <si>
    <t>Burger King</t>
  </si>
  <si>
    <t>Delhi</t>
  </si>
  <si>
    <t>ZOM-1004</t>
  </si>
  <si>
    <t>2023-01-31</t>
  </si>
  <si>
    <t>Mumbai</t>
  </si>
  <si>
    <t>ZOM-1046</t>
  </si>
  <si>
    <t>2023-02-02</t>
  </si>
  <si>
    <t>February</t>
  </si>
  <si>
    <t>Gordhan Thal</t>
  </si>
  <si>
    <t>Ahmedabad</t>
  </si>
  <si>
    <t>ZOM-1063</t>
  </si>
  <si>
    <t>2023-02-21</t>
  </si>
  <si>
    <t>Mirch Masala</t>
  </si>
  <si>
    <t>Vadodara</t>
  </si>
  <si>
    <t>ZOM-1021</t>
  </si>
  <si>
    <t>2023-02-27</t>
  </si>
  <si>
    <t>La Pinoz Pizza</t>
  </si>
  <si>
    <t>ZOM-1064</t>
  </si>
  <si>
    <t>2023-02-28</t>
  </si>
  <si>
    <t>ZOM-1062</t>
  </si>
  <si>
    <t>2023-03-01</t>
  </si>
  <si>
    <t>March</t>
  </si>
  <si>
    <t>Honest Restaurant</t>
  </si>
  <si>
    <t>ZOM-1029</t>
  </si>
  <si>
    <t>2023-03-07</t>
  </si>
  <si>
    <t>McDonalds</t>
  </si>
  <si>
    <t>Bangalore</t>
  </si>
  <si>
    <t>ZOM-1065</t>
  </si>
  <si>
    <t>2023-03-11</t>
  </si>
  <si>
    <t>ZOM-1014</t>
  </si>
  <si>
    <t>2023-03-13</t>
  </si>
  <si>
    <t>ZOM-1045</t>
  </si>
  <si>
    <t>2023-03-14</t>
  </si>
  <si>
    <t>ZOM-1038</t>
  </si>
  <si>
    <t>2023-03-22</t>
  </si>
  <si>
    <t>Surat</t>
  </si>
  <si>
    <t>ZOM-1057</t>
  </si>
  <si>
    <t>2023-04-06</t>
  </si>
  <si>
    <t>April</t>
  </si>
  <si>
    <t>ZOM-1050</t>
  </si>
  <si>
    <t>2023-04-07</t>
  </si>
  <si>
    <t>ZOM-1052</t>
  </si>
  <si>
    <t>2023-04-11</t>
  </si>
  <si>
    <t>ZOM-1001</t>
  </si>
  <si>
    <t>2023-04-25</t>
  </si>
  <si>
    <t>ZOM-1031</t>
  </si>
  <si>
    <t>2023-04-28</t>
  </si>
  <si>
    <t>Subway</t>
  </si>
  <si>
    <t>ZOM-1012</t>
  </si>
  <si>
    <t>2023-05-08</t>
  </si>
  <si>
    <t>May</t>
  </si>
  <si>
    <t>ZOM-1080</t>
  </si>
  <si>
    <t>2023-05-14</t>
  </si>
  <si>
    <t>ZOM-1082</t>
  </si>
  <si>
    <t>2023-06-02</t>
  </si>
  <si>
    <t>June</t>
  </si>
  <si>
    <t>ZOM-1028</t>
  </si>
  <si>
    <t>2023-06-06</t>
  </si>
  <si>
    <t>Behrouz Biryani</t>
  </si>
  <si>
    <t>ZOM-1089</t>
  </si>
  <si>
    <t>2023-06-13</t>
  </si>
  <si>
    <t>ZOM-1035</t>
  </si>
  <si>
    <t>2023-06-15</t>
  </si>
  <si>
    <t>ZOM-1087</t>
  </si>
  <si>
    <t>2023-06-16</t>
  </si>
  <si>
    <t>ZOM-1040</t>
  </si>
  <si>
    <t>2023-06-19</t>
  </si>
  <si>
    <t>ZOM-1085</t>
  </si>
  <si>
    <t>2023-08-04</t>
  </si>
  <si>
    <t>August</t>
  </si>
  <si>
    <t>ZOM-1041</t>
  </si>
  <si>
    <t>2023-08-05</t>
  </si>
  <si>
    <t>ZOM-1009</t>
  </si>
  <si>
    <t>2023-08-09</t>
  </si>
  <si>
    <t>ZOM-1090</t>
  </si>
  <si>
    <t>2023-08-16</t>
  </si>
  <si>
    <t>ZOM-1002</t>
  </si>
  <si>
    <t>2023-08-17</t>
  </si>
  <si>
    <t>ZOM-1091</t>
  </si>
  <si>
    <t>2023-08-22</t>
  </si>
  <si>
    <t>ZOM-1047</t>
  </si>
  <si>
    <t>2023-09-01</t>
  </si>
  <si>
    <t>September</t>
  </si>
  <si>
    <t>ZOM-1019</t>
  </si>
  <si>
    <t>2023-09-08</t>
  </si>
  <si>
    <t>ZOM-1072</t>
  </si>
  <si>
    <t>ZOM-1066</t>
  </si>
  <si>
    <t>2023-09-10</t>
  </si>
  <si>
    <t>ZOM-1043</t>
  </si>
  <si>
    <t>2023-09-11</t>
  </si>
  <si>
    <t>ZOM-1098</t>
  </si>
  <si>
    <t>2023-09-18</t>
  </si>
  <si>
    <t>ZOM-1033</t>
  </si>
  <si>
    <t>2023-09-27</t>
  </si>
  <si>
    <t>ZOM-1011</t>
  </si>
  <si>
    <t>2023-09-28</t>
  </si>
  <si>
    <t>ZOM-1075</t>
  </si>
  <si>
    <t>ZOM-1095</t>
  </si>
  <si>
    <t>2023-09-29</t>
  </si>
  <si>
    <t>ZOM-1018</t>
  </si>
  <si>
    <t>2023-10-01</t>
  </si>
  <si>
    <t>October</t>
  </si>
  <si>
    <t>ZOM-1022</t>
  </si>
  <si>
    <t>2023-10-02</t>
  </si>
  <si>
    <t>ZOM-1076</t>
  </si>
  <si>
    <t>2023-10-06</t>
  </si>
  <si>
    <t>ZOM-1007</t>
  </si>
  <si>
    <t>2023-10-12</t>
  </si>
  <si>
    <t>ZOM-1016</t>
  </si>
  <si>
    <t>ZOM-1055</t>
  </si>
  <si>
    <t>2023-10-13</t>
  </si>
  <si>
    <t>ZOM-1015</t>
  </si>
  <si>
    <t>2023-10-24</t>
  </si>
  <si>
    <t>ZOM-1032</t>
  </si>
  <si>
    <t>2023-10-28</t>
  </si>
  <si>
    <t>ZOM-1034</t>
  </si>
  <si>
    <t>2023-11-02</t>
  </si>
  <si>
    <t>November</t>
  </si>
  <si>
    <t>ZOM-1069</t>
  </si>
  <si>
    <t>2023-11-04</t>
  </si>
  <si>
    <t>ZOM-1037</t>
  </si>
  <si>
    <t>2023-11-11</t>
  </si>
  <si>
    <t>ZOM-1084</t>
  </si>
  <si>
    <t>2023-11-12</t>
  </si>
  <si>
    <t>ZOM-1068</t>
  </si>
  <si>
    <t>2023-11-18</t>
  </si>
  <si>
    <t>ZOM-1023</t>
  </si>
  <si>
    <t>2023-11-19</t>
  </si>
  <si>
    <t>ZOM-1092</t>
  </si>
  <si>
    <t>2023-12-03</t>
  </si>
  <si>
    <t>December</t>
  </si>
  <si>
    <t>ZOM-1100</t>
  </si>
  <si>
    <t>2023-12-05</t>
  </si>
  <si>
    <t>ZOM-1088</t>
  </si>
  <si>
    <t>2023-12-07</t>
  </si>
  <si>
    <t>ZOM-1053</t>
  </si>
  <si>
    <t>2023-12-14</t>
  </si>
  <si>
    <t>ZOM-1077</t>
  </si>
  <si>
    <t>2023-12-18</t>
  </si>
  <si>
    <t>ZOM-1017</t>
  </si>
  <si>
    <t>2024-01-15</t>
  </si>
  <si>
    <t>ZOM-1042</t>
  </si>
  <si>
    <t>2024-01-18</t>
  </si>
  <si>
    <t>ZOM-1059</t>
  </si>
  <si>
    <t>2024-01-24</t>
  </si>
  <si>
    <t>ZOM-1010</t>
  </si>
  <si>
    <t>2024-01-25</t>
  </si>
  <si>
    <t>ZOM-1067</t>
  </si>
  <si>
    <t>2024-03-05</t>
  </si>
  <si>
    <t>ZOM-1008</t>
  </si>
  <si>
    <t>2024-03-08</t>
  </si>
  <si>
    <t>ZOM-1051</t>
  </si>
  <si>
    <t>2024-03-09</t>
  </si>
  <si>
    <t>ZOM-1079</t>
  </si>
  <si>
    <t>ZOM-1081</t>
  </si>
  <si>
    <t>2024-03-13</t>
  </si>
  <si>
    <t>ZOM-1096</t>
  </si>
  <si>
    <t>2024-03-20</t>
  </si>
  <si>
    <t>ZOM-1073</t>
  </si>
  <si>
    <t>2024-03-24</t>
  </si>
  <si>
    <t>ZOM-1060</t>
  </si>
  <si>
    <t>2024-04-10</t>
  </si>
  <si>
    <t>ZOM-1024</t>
  </si>
  <si>
    <t>2024-04-14</t>
  </si>
  <si>
    <t>ZOM-1070</t>
  </si>
  <si>
    <t>ZOM-1049</t>
  </si>
  <si>
    <t>2024-04-29</t>
  </si>
  <si>
    <t>ZOM-1058</t>
  </si>
  <si>
    <t>2024-05-07</t>
  </si>
  <si>
    <t>ZOM-1061</t>
  </si>
  <si>
    <t>2024-05-13</t>
  </si>
  <si>
    <t>ZOM-1036</t>
  </si>
  <si>
    <t>2024-05-15</t>
  </si>
  <si>
    <t>ZOM-1078</t>
  </si>
  <si>
    <t>ZOM-1071</t>
  </si>
  <si>
    <t>2024-06-02</t>
  </si>
  <si>
    <t>ZOM-1027</t>
  </si>
  <si>
    <t>2024-06-05</t>
  </si>
  <si>
    <t>ZOM-1093</t>
  </si>
  <si>
    <t>ZOM-1099</t>
  </si>
  <si>
    <t>2024-06-16</t>
  </si>
  <si>
    <t>ZOM-1030</t>
  </si>
  <si>
    <t>2024-06-25</t>
  </si>
  <si>
    <t>ZOM-1039</t>
  </si>
  <si>
    <t>2024-06-29</t>
  </si>
  <si>
    <t>ZOM-1054</t>
  </si>
  <si>
    <t>2024-07-03</t>
  </si>
  <si>
    <t>July</t>
  </si>
  <si>
    <t>ZOM-1048</t>
  </si>
  <si>
    <t>2024-07-06</t>
  </si>
  <si>
    <t>ZOM-1003</t>
  </si>
  <si>
    <t>2024-07-12</t>
  </si>
  <si>
    <t>ZOM-1006</t>
  </si>
  <si>
    <t>ZOM-1056</t>
  </si>
  <si>
    <t>2024-07-17</t>
  </si>
  <si>
    <t>ZOM-1083</t>
  </si>
  <si>
    <t>2024-07-19</t>
  </si>
  <si>
    <t>ZOM-1074</t>
  </si>
  <si>
    <t>2024-07-21</t>
  </si>
  <si>
    <t>ZOM-1020</t>
  </si>
  <si>
    <t>2024-07-24</t>
  </si>
  <si>
    <t>ZOM-1086</t>
  </si>
  <si>
    <t>2024-07-27</t>
  </si>
  <si>
    <t>ZOM-1025</t>
  </si>
  <si>
    <t>2024-07-28</t>
  </si>
  <si>
    <t>ZOM-1026</t>
  </si>
  <si>
    <t>2024-08-20</t>
  </si>
  <si>
    <t>ZOM-1044</t>
  </si>
  <si>
    <t>2024-08-25</t>
  </si>
  <si>
    <t>ZOM-1005</t>
  </si>
  <si>
    <t>2024-09-08</t>
  </si>
  <si>
    <t>ZOM-1097</t>
  </si>
  <si>
    <t>2024-09-12</t>
  </si>
  <si>
    <t>ZOM-1013</t>
  </si>
  <si>
    <t>2024-10-05</t>
  </si>
  <si>
    <t>Task 1: Pivot Table - Total Sales Grouped by Month and Year</t>
  </si>
  <si>
    <t>Pivot Table: Sales Trend by Year &amp; Month (Date Grouping)</t>
  </si>
  <si>
    <t>Month (Date Group)</t>
  </si>
  <si>
    <t>2023 Sales (₹)</t>
  </si>
  <si>
    <t>2024 Sales (₹)</t>
  </si>
  <si>
    <t>Total Sales (₹)</t>
  </si>
  <si>
    <t>Grand Total</t>
  </si>
  <si>
    <t>📌 How to Group by Month &amp; Year in Excel Pivot Table:</t>
  </si>
  <si>
    <t>1. Select the Raw Orders table and click Insert -&gt; PivotTable.</t>
  </si>
  <si>
    <t>2. Drag "Order Date" to Rows and "Amount" to Values.</t>
  </si>
  <si>
    <t>3. Right-click any Date cell inside the Pivot Table and select "Group...".</t>
  </si>
  <si>
    <t>4. In the Grouping dialog box, select both "Months" and "Years" and click OK.</t>
  </si>
  <si>
    <t>Task 2: Pivot Table - Quarterly Sales Trend (Latest Year 2024)</t>
  </si>
  <si>
    <t>Quarterly Sales Trend for Year 2024 (Grouped by Quarter)</t>
  </si>
  <si>
    <t>Quarter</t>
  </si>
  <si>
    <t>Months Included</t>
  </si>
  <si>
    <t>Order Count</t>
  </si>
  <si>
    <t>Share of 2024 Sales</t>
  </si>
  <si>
    <t>Qtr 1</t>
  </si>
  <si>
    <t>Jan - Mar</t>
  </si>
  <si>
    <t>Qtr 2</t>
  </si>
  <si>
    <t>Apr - Jun</t>
  </si>
  <si>
    <t>Qtr 3</t>
  </si>
  <si>
    <t>Jul - Sep</t>
  </si>
  <si>
    <t>Qtr 4</t>
  </si>
  <si>
    <t>Oct - Dec</t>
  </si>
  <si>
    <t>Total (2024)</t>
  </si>
  <si>
    <t>Full Year</t>
  </si>
  <si>
    <t>100.0%</t>
  </si>
  <si>
    <t>📌 How to Group by Quarter in Excel Pivot Table:</t>
  </si>
  <si>
    <t>1. Right-click on any Date cell inside the Pivot Table.</t>
  </si>
  <si>
    <t>2. Click "Group..." -&gt; In the list, uncheck Months and check "Quarters" (and "Years").</t>
  </si>
  <si>
    <t>3. Click OK. Excel automatically groups the entire year into Qtr 1, Qtr 2, Qtr 3, and Qtr 4.</t>
  </si>
  <si>
    <t>Task 3: Pivot Table with Calculated Field (Average Order Value &amp; Commission)</t>
  </si>
  <si>
    <t>Pivot Table: Monthly Sales with Custom Calculated Fields</t>
  </si>
  <si>
    <t>Month (2024)</t>
  </si>
  <si>
    <t>Orders Count</t>
  </si>
  <si>
    <t>Calculated Field: AOV (₹)</t>
  </si>
  <si>
    <t>Calculated Field: Platform Fee (18%)</t>
  </si>
  <si>
    <t>Total / Average</t>
  </si>
  <si>
    <t>📌 How to Add a Calculated Field in Excel Pivot Table:</t>
  </si>
  <si>
    <t>1. Click anywhere inside your Pivot Table.</t>
  </si>
  <si>
    <t>2. Go to the "PivotTable Analyze" tab on the Excel Ribbon.</t>
  </si>
  <si>
    <t>3. Click "Fields, Items, &amp; Sets" -&gt; Select "Calculated Field...".</t>
  </si>
  <si>
    <t>4. Name: "Average Order Value", Formula: = Amount / Items (or Total Sales / Orders). Click Add &amp; OK.</t>
  </si>
  <si>
    <t>Task 4: Pivot Table with Interactive Slicers (City &amp; Restaurant)</t>
  </si>
  <si>
    <t>🎛️ Slicer: City (Active: Ahmedabad)</t>
  </si>
  <si>
    <t>Ahmedabad (Selected ✓)</t>
  </si>
  <si>
    <t>🎛️ Slicer: Restaurant (Active: All)</t>
  </si>
  <si>
    <t>Pivot Table Filtered by Slicer [City = Ahmedabad]:</t>
  </si>
  <si>
    <t>Restaurant Name in Ahmedabad</t>
  </si>
  <si>
    <t>Total Orders</t>
  </si>
  <si>
    <t>Average Rating</t>
  </si>
  <si>
    <t>Delivery City</t>
  </si>
  <si>
    <t>4.5 ★</t>
  </si>
  <si>
    <t>Ahmedabad Total</t>
  </si>
  <si>
    <t>-</t>
  </si>
  <si>
    <t>📌 How to Insert Slicers in Excel Pivot Table:</t>
  </si>
  <si>
    <t>1. Click anywhere inside the Pivot Table.</t>
  </si>
  <si>
    <t>2. Go to "PivotTable Analyze" tab -&gt; Click "Insert Slicer".</t>
  </si>
  <si>
    <t>3. Check the boxes for "City" and "Restaurant Name", then click OK.</t>
  </si>
  <si>
    <t>4. Clicking any button (e.g. "Ahmedabad") instantly filters the Pivot Table!</t>
  </si>
  <si>
    <t>Task 5: Drill-Down Worksheet Generated by Double-Clicking Q3 Total</t>
  </si>
  <si>
    <t>🔍 Drill-Down Explanation (Constraint Response):</t>
  </si>
  <si>
    <t>• What happened: Double-clicking on the Q3 Sales total cell (or any pivot aggregated cell) triggers Excel's Drill-Down feature.</t>
  </si>
  <si>
    <t>• New Worksheet created: Excel immediately generates a brand-new worksheet (automatically named like "Sheet1" or "DrillDown_Q3").</t>
  </si>
  <si>
    <t>• What data it contains: It extracts and displays ONLY the specific underlying individual records that were summed up to produce that Q3 total.</t>
  </si>
  <si>
    <t>• Below is the exact list of individual orders extracted during this Q3 drill-down:</t>
  </si>
  <si>
    <t>Items</t>
  </si>
  <si>
    <t>Order Amount (₹)</t>
  </si>
  <si>
    <t>Total Q3 Sales 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</si>
</sst>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₹#,##0"/>
    <numFmt numFmtId="165" formatCode="0.0%"/>
    <numFmt numFmtId="166" formatCode="\₹#,##0.0"/>
  </numFmts>
  <fonts count="14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1"/>
      <color rgb="FFFFFFFF"/>
      <name val="Calibri"/>
      <family val="2"/>
    </font>
    <font>
      <sz val="11"/>
      <name val="Calibri"/>
      <family val="2"/>
    </font>
    <font>
      <b/>
      <sz val="13"/>
      <color rgb="FF1F4E78"/>
      <name val="Calibri"/>
      <family val="2"/>
    </font>
    <font>
      <b/>
      <sz val="11"/>
      <name val="Calibri"/>
      <family val="2"/>
    </font>
    <font>
      <i/>
      <sz val="10"/>
      <color rgb="FF595959"/>
      <name val="Calibri"/>
      <family val="2"/>
    </font>
    <font>
      <b/>
      <sz val="11"/>
      <color rgb="FF375623"/>
      <name val="Calibri"/>
      <family val="2"/>
    </font>
    <font>
      <b/>
      <sz val="11"/>
      <color rgb="FF2F5597"/>
      <name val="Calibri"/>
      <family val="2"/>
    </font>
    <font>
      <b/>
      <sz val="10"/>
      <color rgb="FFFFFFFF"/>
      <name val="Calibri"/>
      <family val="2"/>
    </font>
    <font>
      <sz val="10"/>
      <color rgb="FF595959"/>
      <name val="Calibri"/>
      <family val="2"/>
    </font>
    <font>
      <b/>
      <sz val="12"/>
      <color rgb="FFC65911"/>
      <name val="Calibri"/>
      <family val="2"/>
    </font>
    <font>
      <b/>
      <sz val="11"/>
      <color rgb="FF1F4E78"/>
      <name val="Calibri"/>
      <family val="2"/>
    </font>
    <font>
      <sz val="11"/>
      <color rgb="FF1F4E78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  <fill>
      <patternFill patternType="solid">
        <fgColor rgb="FF2F5597"/>
        <bgColor rgb="FF2F5597"/>
      </patternFill>
    </fill>
    <fill>
      <patternFill patternType="solid">
        <fgColor rgb="FFF2F2F2"/>
        <bgColor rgb="FFF2F2F2"/>
      </patternFill>
    </fill>
    <fill>
      <patternFill patternType="solid">
        <fgColor rgb="FFC65911"/>
        <bgColor rgb="FFC65911"/>
      </patternFill>
    </fill>
    <fill>
      <patternFill patternType="solid">
        <fgColor theme="9" tint="-0.499984740745262"/>
        <b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0" fontId="4" fillId="0" borderId="0" xfId="0" applyFont="1"/>
    <xf numFmtId="0" fontId="5" fillId="0" borderId="1" xfId="0" applyFont="1" applyBorder="1"/>
    <xf numFmtId="164" fontId="5" fillId="0" borderId="1" xfId="0" applyNumberFormat="1" applyFont="1" applyBorder="1" applyAlignment="1">
      <alignment horizontal="right"/>
    </xf>
    <xf numFmtId="0" fontId="5" fillId="3" borderId="1" xfId="0" applyFont="1" applyFill="1" applyBorder="1"/>
    <xf numFmtId="164" fontId="5" fillId="3" borderId="1" xfId="0" applyNumberFormat="1" applyFont="1" applyFill="1" applyBorder="1" applyAlignment="1">
      <alignment horizontal="right"/>
    </xf>
    <xf numFmtId="0" fontId="5" fillId="0" borderId="0" xfId="0" applyFont="1"/>
    <xf numFmtId="0" fontId="6" fillId="0" borderId="0" xfId="0" applyFont="1"/>
    <xf numFmtId="0" fontId="5" fillId="0" borderId="1" xfId="0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166" fontId="7" fillId="4" borderId="1" xfId="0" applyNumberFormat="1" applyFont="1" applyFill="1" applyBorder="1" applyAlignment="1">
      <alignment horizontal="right"/>
    </xf>
    <xf numFmtId="164" fontId="7" fillId="4" borderId="1" xfId="0" applyNumberFormat="1" applyFont="1" applyFill="1" applyBorder="1" applyAlignment="1">
      <alignment horizontal="right"/>
    </xf>
    <xf numFmtId="166" fontId="5" fillId="3" borderId="1" xfId="0" applyNumberFormat="1" applyFont="1" applyFill="1" applyBorder="1" applyAlignment="1">
      <alignment horizontal="right"/>
    </xf>
    <xf numFmtId="0" fontId="8" fillId="0" borderId="0" xfId="0" applyFont="1"/>
    <xf numFmtId="0" fontId="9" fillId="5" borderId="1" xfId="0" applyFont="1" applyFill="1" applyBorder="1" applyAlignment="1">
      <alignment horizontal="center"/>
    </xf>
    <xf numFmtId="0" fontId="10" fillId="6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2" fillId="7" borderId="1" xfId="0" applyFont="1" applyFill="1" applyBorder="1" applyAlignment="1">
      <alignment horizontal="center"/>
    </xf>
    <xf numFmtId="0" fontId="0" fillId="3" borderId="1" xfId="0" applyFill="1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8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4"/>
  <sheetViews>
    <sheetView tabSelected="1" workbookViewId="0">
      <selection activeCell="A4" sqref="A4:H4"/>
    </sheetView>
  </sheetViews>
  <sheetFormatPr defaultRowHeight="14.5" x14ac:dyDescent="0.35"/>
  <cols>
    <col min="1" max="1" width="62" customWidth="1"/>
    <col min="2" max="4" width="14" customWidth="1"/>
    <col min="5" max="5" width="20" customWidth="1"/>
    <col min="6" max="8" width="14" customWidth="1"/>
  </cols>
  <sheetData>
    <row r="1" spans="1:8" ht="32" customHeight="1" x14ac:dyDescent="0.35">
      <c r="A1" s="27" t="s">
        <v>0</v>
      </c>
      <c r="B1" s="28"/>
      <c r="C1" s="28"/>
      <c r="D1" s="28"/>
      <c r="E1" s="28"/>
      <c r="F1" s="28"/>
      <c r="G1" s="28"/>
    </row>
    <row r="4" spans="1:8" x14ac:dyDescent="0.35">
      <c r="A4" s="29" t="s">
        <v>1</v>
      </c>
      <c r="B4" s="29" t="s">
        <v>2</v>
      </c>
      <c r="C4" s="29" t="s">
        <v>3</v>
      </c>
      <c r="D4" s="29" t="s">
        <v>4</v>
      </c>
      <c r="E4" s="29" t="s">
        <v>5</v>
      </c>
      <c r="F4" s="29" t="s">
        <v>6</v>
      </c>
      <c r="G4" s="29" t="s">
        <v>7</v>
      </c>
      <c r="H4" s="29" t="s">
        <v>8</v>
      </c>
    </row>
    <row r="5" spans="1:8" x14ac:dyDescent="0.35">
      <c r="A5" s="2" t="s">
        <v>9</v>
      </c>
      <c r="B5" s="2" t="s">
        <v>10</v>
      </c>
      <c r="C5" s="2">
        <v>2023</v>
      </c>
      <c r="D5" s="2" t="s">
        <v>11</v>
      </c>
      <c r="E5" s="3" t="s">
        <v>12</v>
      </c>
      <c r="F5" s="2" t="s">
        <v>13</v>
      </c>
      <c r="G5" s="2">
        <v>2</v>
      </c>
      <c r="H5" s="4">
        <v>1439</v>
      </c>
    </row>
    <row r="6" spans="1:8" x14ac:dyDescent="0.35">
      <c r="A6" s="2" t="s">
        <v>14</v>
      </c>
      <c r="B6" s="2" t="s">
        <v>15</v>
      </c>
      <c r="C6" s="2">
        <v>2023</v>
      </c>
      <c r="D6" s="2" t="s">
        <v>11</v>
      </c>
      <c r="E6" s="3" t="s">
        <v>12</v>
      </c>
      <c r="F6" s="2" t="s">
        <v>16</v>
      </c>
      <c r="G6" s="2">
        <v>2</v>
      </c>
      <c r="H6" s="4">
        <v>1284</v>
      </c>
    </row>
    <row r="7" spans="1:8" x14ac:dyDescent="0.35">
      <c r="A7" s="2" t="s">
        <v>17</v>
      </c>
      <c r="B7" s="2" t="s">
        <v>18</v>
      </c>
      <c r="C7" s="2">
        <v>2023</v>
      </c>
      <c r="D7" s="2" t="s">
        <v>19</v>
      </c>
      <c r="E7" s="3" t="s">
        <v>20</v>
      </c>
      <c r="F7" s="2" t="s">
        <v>21</v>
      </c>
      <c r="G7" s="2">
        <v>1</v>
      </c>
      <c r="H7" s="4">
        <v>1302</v>
      </c>
    </row>
    <row r="8" spans="1:8" x14ac:dyDescent="0.35">
      <c r="A8" s="2" t="s">
        <v>22</v>
      </c>
      <c r="B8" s="2" t="s">
        <v>23</v>
      </c>
      <c r="C8" s="2">
        <v>2023</v>
      </c>
      <c r="D8" s="2" t="s">
        <v>19</v>
      </c>
      <c r="E8" s="3" t="s">
        <v>24</v>
      </c>
      <c r="F8" s="2" t="s">
        <v>25</v>
      </c>
      <c r="G8" s="2">
        <v>5</v>
      </c>
      <c r="H8" s="4">
        <v>572</v>
      </c>
    </row>
    <row r="9" spans="1:8" x14ac:dyDescent="0.35">
      <c r="A9" s="2" t="s">
        <v>26</v>
      </c>
      <c r="B9" s="2" t="s">
        <v>27</v>
      </c>
      <c r="C9" s="2">
        <v>2023</v>
      </c>
      <c r="D9" s="2" t="s">
        <v>19</v>
      </c>
      <c r="E9" s="3" t="s">
        <v>28</v>
      </c>
      <c r="F9" s="2" t="s">
        <v>21</v>
      </c>
      <c r="G9" s="2">
        <v>3</v>
      </c>
      <c r="H9" s="4">
        <v>1071</v>
      </c>
    </row>
    <row r="10" spans="1:8" x14ac:dyDescent="0.35">
      <c r="A10" s="2" t="s">
        <v>29</v>
      </c>
      <c r="B10" s="2" t="s">
        <v>30</v>
      </c>
      <c r="C10" s="2">
        <v>2023</v>
      </c>
      <c r="D10" s="2" t="s">
        <v>19</v>
      </c>
      <c r="E10" s="3" t="s">
        <v>12</v>
      </c>
      <c r="F10" s="2" t="s">
        <v>16</v>
      </c>
      <c r="G10" s="2">
        <v>1</v>
      </c>
      <c r="H10" s="4">
        <v>1468</v>
      </c>
    </row>
    <row r="11" spans="1:8" x14ac:dyDescent="0.35">
      <c r="A11" s="2" t="s">
        <v>31</v>
      </c>
      <c r="B11" s="2" t="s">
        <v>32</v>
      </c>
      <c r="C11" s="2">
        <v>2023</v>
      </c>
      <c r="D11" s="2" t="s">
        <v>33</v>
      </c>
      <c r="E11" s="3" t="s">
        <v>34</v>
      </c>
      <c r="F11" s="2" t="s">
        <v>21</v>
      </c>
      <c r="G11" s="2">
        <v>3</v>
      </c>
      <c r="H11" s="4">
        <v>367</v>
      </c>
    </row>
    <row r="12" spans="1:8" x14ac:dyDescent="0.35">
      <c r="A12" s="2" t="s">
        <v>35</v>
      </c>
      <c r="B12" s="2" t="s">
        <v>36</v>
      </c>
      <c r="C12" s="2">
        <v>2023</v>
      </c>
      <c r="D12" s="2" t="s">
        <v>33</v>
      </c>
      <c r="E12" s="3" t="s">
        <v>37</v>
      </c>
      <c r="F12" s="2" t="s">
        <v>38</v>
      </c>
      <c r="G12" s="2">
        <v>5</v>
      </c>
      <c r="H12" s="4">
        <v>1208</v>
      </c>
    </row>
    <row r="13" spans="1:8" x14ac:dyDescent="0.35">
      <c r="A13" s="2" t="s">
        <v>39</v>
      </c>
      <c r="B13" s="2" t="s">
        <v>40</v>
      </c>
      <c r="C13" s="2">
        <v>2023</v>
      </c>
      <c r="D13" s="2" t="s">
        <v>33</v>
      </c>
      <c r="E13" s="3" t="s">
        <v>28</v>
      </c>
      <c r="F13" s="2" t="s">
        <v>38</v>
      </c>
      <c r="G13" s="2">
        <v>1</v>
      </c>
      <c r="H13" s="4">
        <v>1416</v>
      </c>
    </row>
    <row r="14" spans="1:8" x14ac:dyDescent="0.35">
      <c r="A14" s="2" t="s">
        <v>41</v>
      </c>
      <c r="B14" s="2" t="s">
        <v>42</v>
      </c>
      <c r="C14" s="2">
        <v>2023</v>
      </c>
      <c r="D14" s="2" t="s">
        <v>33</v>
      </c>
      <c r="E14" s="3" t="s">
        <v>34</v>
      </c>
      <c r="F14" s="2" t="s">
        <v>21</v>
      </c>
      <c r="G14" s="2">
        <v>2</v>
      </c>
      <c r="H14" s="4">
        <v>1833</v>
      </c>
    </row>
    <row r="15" spans="1:8" x14ac:dyDescent="0.35">
      <c r="A15" s="2" t="s">
        <v>43</v>
      </c>
      <c r="B15" s="2" t="s">
        <v>44</v>
      </c>
      <c r="C15" s="2">
        <v>2023</v>
      </c>
      <c r="D15" s="2" t="s">
        <v>33</v>
      </c>
      <c r="E15" s="3" t="s">
        <v>34</v>
      </c>
      <c r="F15" s="2" t="s">
        <v>21</v>
      </c>
      <c r="G15" s="2">
        <v>2</v>
      </c>
      <c r="H15" s="4">
        <v>388</v>
      </c>
    </row>
    <row r="16" spans="1:8" x14ac:dyDescent="0.35">
      <c r="A16" s="2" t="s">
        <v>45</v>
      </c>
      <c r="B16" s="2" t="s">
        <v>46</v>
      </c>
      <c r="C16" s="2">
        <v>2023</v>
      </c>
      <c r="D16" s="2" t="s">
        <v>33</v>
      </c>
      <c r="E16" s="3" t="s">
        <v>12</v>
      </c>
      <c r="F16" s="2" t="s">
        <v>47</v>
      </c>
      <c r="G16" s="2">
        <v>4</v>
      </c>
      <c r="H16" s="4">
        <v>391</v>
      </c>
    </row>
    <row r="17" spans="1:8" x14ac:dyDescent="0.35">
      <c r="A17" s="2" t="s">
        <v>48</v>
      </c>
      <c r="B17" s="2" t="s">
        <v>49</v>
      </c>
      <c r="C17" s="2">
        <v>2023</v>
      </c>
      <c r="D17" s="2" t="s">
        <v>50</v>
      </c>
      <c r="E17" s="3" t="s">
        <v>28</v>
      </c>
      <c r="F17" s="2" t="s">
        <v>16</v>
      </c>
      <c r="G17" s="2">
        <v>4</v>
      </c>
      <c r="H17" s="4">
        <v>1244</v>
      </c>
    </row>
    <row r="18" spans="1:8" x14ac:dyDescent="0.35">
      <c r="A18" s="2" t="s">
        <v>51</v>
      </c>
      <c r="B18" s="2" t="s">
        <v>52</v>
      </c>
      <c r="C18" s="2">
        <v>2023</v>
      </c>
      <c r="D18" s="2" t="s">
        <v>50</v>
      </c>
      <c r="E18" s="3" t="s">
        <v>12</v>
      </c>
      <c r="F18" s="2" t="s">
        <v>47</v>
      </c>
      <c r="G18" s="2">
        <v>4</v>
      </c>
      <c r="H18" s="4">
        <v>975</v>
      </c>
    </row>
    <row r="19" spans="1:8" x14ac:dyDescent="0.35">
      <c r="A19" s="2" t="s">
        <v>53</v>
      </c>
      <c r="B19" s="2" t="s">
        <v>54</v>
      </c>
      <c r="C19" s="2">
        <v>2023</v>
      </c>
      <c r="D19" s="2" t="s">
        <v>50</v>
      </c>
      <c r="E19" s="3" t="s">
        <v>34</v>
      </c>
      <c r="F19" s="2" t="s">
        <v>21</v>
      </c>
      <c r="G19" s="2">
        <v>4</v>
      </c>
      <c r="H19" s="4">
        <v>1741</v>
      </c>
    </row>
    <row r="20" spans="1:8" x14ac:dyDescent="0.35">
      <c r="A20" s="2" t="s">
        <v>55</v>
      </c>
      <c r="B20" s="2" t="s">
        <v>56</v>
      </c>
      <c r="C20" s="2">
        <v>2023</v>
      </c>
      <c r="D20" s="2" t="s">
        <v>50</v>
      </c>
      <c r="E20" s="3" t="s">
        <v>34</v>
      </c>
      <c r="F20" s="2" t="s">
        <v>21</v>
      </c>
      <c r="G20" s="2">
        <v>3</v>
      </c>
      <c r="H20" s="4">
        <v>751</v>
      </c>
    </row>
    <row r="21" spans="1:8" x14ac:dyDescent="0.35">
      <c r="A21" s="2" t="s">
        <v>57</v>
      </c>
      <c r="B21" s="2" t="s">
        <v>58</v>
      </c>
      <c r="C21" s="2">
        <v>2023</v>
      </c>
      <c r="D21" s="2" t="s">
        <v>50</v>
      </c>
      <c r="E21" s="3" t="s">
        <v>59</v>
      </c>
      <c r="F21" s="2" t="s">
        <v>47</v>
      </c>
      <c r="G21" s="2">
        <v>3</v>
      </c>
      <c r="H21" s="4">
        <v>478</v>
      </c>
    </row>
    <row r="22" spans="1:8" x14ac:dyDescent="0.35">
      <c r="A22" s="2" t="s">
        <v>60</v>
      </c>
      <c r="B22" s="2" t="s">
        <v>61</v>
      </c>
      <c r="C22" s="2">
        <v>2023</v>
      </c>
      <c r="D22" s="2" t="s">
        <v>62</v>
      </c>
      <c r="E22" s="3" t="s">
        <v>37</v>
      </c>
      <c r="F22" s="2" t="s">
        <v>21</v>
      </c>
      <c r="G22" s="2">
        <v>5</v>
      </c>
      <c r="H22" s="4">
        <v>850</v>
      </c>
    </row>
    <row r="23" spans="1:8" x14ac:dyDescent="0.35">
      <c r="A23" s="2" t="s">
        <v>63</v>
      </c>
      <c r="B23" s="2" t="s">
        <v>64</v>
      </c>
      <c r="C23" s="2">
        <v>2023</v>
      </c>
      <c r="D23" s="2" t="s">
        <v>62</v>
      </c>
      <c r="E23" s="3" t="s">
        <v>59</v>
      </c>
      <c r="F23" s="2" t="s">
        <v>16</v>
      </c>
      <c r="G23" s="2">
        <v>4</v>
      </c>
      <c r="H23" s="4">
        <v>1379</v>
      </c>
    </row>
    <row r="24" spans="1:8" x14ac:dyDescent="0.35">
      <c r="A24" s="2" t="s">
        <v>65</v>
      </c>
      <c r="B24" s="2" t="s">
        <v>66</v>
      </c>
      <c r="C24" s="2">
        <v>2023</v>
      </c>
      <c r="D24" s="2" t="s">
        <v>67</v>
      </c>
      <c r="E24" s="3" t="s">
        <v>34</v>
      </c>
      <c r="F24" s="2" t="s">
        <v>21</v>
      </c>
      <c r="G24" s="2">
        <v>3</v>
      </c>
      <c r="H24" s="4">
        <v>1442</v>
      </c>
    </row>
    <row r="25" spans="1:8" x14ac:dyDescent="0.35">
      <c r="A25" s="2" t="s">
        <v>68</v>
      </c>
      <c r="B25" s="2" t="s">
        <v>69</v>
      </c>
      <c r="C25" s="2">
        <v>2023</v>
      </c>
      <c r="D25" s="2" t="s">
        <v>67</v>
      </c>
      <c r="E25" s="3" t="s">
        <v>70</v>
      </c>
      <c r="F25" s="2" t="s">
        <v>47</v>
      </c>
      <c r="G25" s="2">
        <v>4</v>
      </c>
      <c r="H25" s="4">
        <v>1471</v>
      </c>
    </row>
    <row r="26" spans="1:8" x14ac:dyDescent="0.35">
      <c r="A26" s="2" t="s">
        <v>71</v>
      </c>
      <c r="B26" s="2" t="s">
        <v>72</v>
      </c>
      <c r="C26" s="2">
        <v>2023</v>
      </c>
      <c r="D26" s="2" t="s">
        <v>67</v>
      </c>
      <c r="E26" s="3" t="s">
        <v>12</v>
      </c>
      <c r="F26" s="2" t="s">
        <v>38</v>
      </c>
      <c r="G26" s="2">
        <v>1</v>
      </c>
      <c r="H26" s="4">
        <v>1213</v>
      </c>
    </row>
    <row r="27" spans="1:8" x14ac:dyDescent="0.35">
      <c r="A27" s="2" t="s">
        <v>73</v>
      </c>
      <c r="B27" s="2" t="s">
        <v>74</v>
      </c>
      <c r="C27" s="2">
        <v>2023</v>
      </c>
      <c r="D27" s="2" t="s">
        <v>67</v>
      </c>
      <c r="E27" s="3" t="s">
        <v>34</v>
      </c>
      <c r="F27" s="2" t="s">
        <v>21</v>
      </c>
      <c r="G27" s="2">
        <v>5</v>
      </c>
      <c r="H27" s="4">
        <v>913</v>
      </c>
    </row>
    <row r="28" spans="1:8" x14ac:dyDescent="0.35">
      <c r="A28" s="2" t="s">
        <v>75</v>
      </c>
      <c r="B28" s="2" t="s">
        <v>76</v>
      </c>
      <c r="C28" s="2">
        <v>2023</v>
      </c>
      <c r="D28" s="2" t="s">
        <v>67</v>
      </c>
      <c r="E28" s="3" t="s">
        <v>70</v>
      </c>
      <c r="F28" s="2" t="s">
        <v>38</v>
      </c>
      <c r="G28" s="2">
        <v>1</v>
      </c>
      <c r="H28" s="4">
        <v>617</v>
      </c>
    </row>
    <row r="29" spans="1:8" x14ac:dyDescent="0.35">
      <c r="A29" s="2" t="s">
        <v>77</v>
      </c>
      <c r="B29" s="2" t="s">
        <v>78</v>
      </c>
      <c r="C29" s="2">
        <v>2023</v>
      </c>
      <c r="D29" s="2" t="s">
        <v>67</v>
      </c>
      <c r="E29" s="3" t="s">
        <v>59</v>
      </c>
      <c r="F29" s="2" t="s">
        <v>25</v>
      </c>
      <c r="G29" s="2">
        <v>5</v>
      </c>
      <c r="H29" s="4">
        <v>1116</v>
      </c>
    </row>
    <row r="30" spans="1:8" x14ac:dyDescent="0.35">
      <c r="A30" s="2" t="s">
        <v>79</v>
      </c>
      <c r="B30" s="2" t="s">
        <v>80</v>
      </c>
      <c r="C30" s="2">
        <v>2023</v>
      </c>
      <c r="D30" s="2" t="s">
        <v>81</v>
      </c>
      <c r="E30" s="3" t="s">
        <v>28</v>
      </c>
      <c r="F30" s="2" t="s">
        <v>47</v>
      </c>
      <c r="G30" s="2">
        <v>1</v>
      </c>
      <c r="H30" s="4">
        <v>974</v>
      </c>
    </row>
    <row r="31" spans="1:8" x14ac:dyDescent="0.35">
      <c r="A31" s="2" t="s">
        <v>82</v>
      </c>
      <c r="B31" s="2" t="s">
        <v>83</v>
      </c>
      <c r="C31" s="2">
        <v>2023</v>
      </c>
      <c r="D31" s="2" t="s">
        <v>81</v>
      </c>
      <c r="E31" s="3" t="s">
        <v>28</v>
      </c>
      <c r="F31" s="2" t="s">
        <v>47</v>
      </c>
      <c r="G31" s="2">
        <v>3</v>
      </c>
      <c r="H31" s="4">
        <v>1067</v>
      </c>
    </row>
    <row r="32" spans="1:8" x14ac:dyDescent="0.35">
      <c r="A32" s="2" t="s">
        <v>84</v>
      </c>
      <c r="B32" s="2" t="s">
        <v>85</v>
      </c>
      <c r="C32" s="2">
        <v>2023</v>
      </c>
      <c r="D32" s="2" t="s">
        <v>81</v>
      </c>
      <c r="E32" s="3" t="s">
        <v>20</v>
      </c>
      <c r="F32" s="2" t="s">
        <v>21</v>
      </c>
      <c r="G32" s="2">
        <v>1</v>
      </c>
      <c r="H32" s="4">
        <v>439</v>
      </c>
    </row>
    <row r="33" spans="1:8" x14ac:dyDescent="0.35">
      <c r="A33" s="2" t="s">
        <v>86</v>
      </c>
      <c r="B33" s="2" t="s">
        <v>87</v>
      </c>
      <c r="C33" s="2">
        <v>2023</v>
      </c>
      <c r="D33" s="2" t="s">
        <v>81</v>
      </c>
      <c r="E33" s="3" t="s">
        <v>28</v>
      </c>
      <c r="F33" s="2" t="s">
        <v>38</v>
      </c>
      <c r="G33" s="2">
        <v>3</v>
      </c>
      <c r="H33" s="4">
        <v>875</v>
      </c>
    </row>
    <row r="34" spans="1:8" x14ac:dyDescent="0.35">
      <c r="A34" s="2" t="s">
        <v>88</v>
      </c>
      <c r="B34" s="2" t="s">
        <v>89</v>
      </c>
      <c r="C34" s="2">
        <v>2023</v>
      </c>
      <c r="D34" s="2" t="s">
        <v>81</v>
      </c>
      <c r="E34" s="3" t="s">
        <v>70</v>
      </c>
      <c r="F34" s="2" t="s">
        <v>47</v>
      </c>
      <c r="G34" s="2">
        <v>1</v>
      </c>
      <c r="H34" s="4">
        <v>1635</v>
      </c>
    </row>
    <row r="35" spans="1:8" x14ac:dyDescent="0.35">
      <c r="A35" s="2" t="s">
        <v>90</v>
      </c>
      <c r="B35" s="2" t="s">
        <v>91</v>
      </c>
      <c r="C35" s="2">
        <v>2023</v>
      </c>
      <c r="D35" s="2" t="s">
        <v>81</v>
      </c>
      <c r="E35" s="3" t="s">
        <v>28</v>
      </c>
      <c r="F35" s="2" t="s">
        <v>21</v>
      </c>
      <c r="G35" s="2">
        <v>2</v>
      </c>
      <c r="H35" s="4">
        <v>1066</v>
      </c>
    </row>
    <row r="36" spans="1:8" x14ac:dyDescent="0.35">
      <c r="A36" s="2" t="s">
        <v>92</v>
      </c>
      <c r="B36" s="2" t="s">
        <v>93</v>
      </c>
      <c r="C36" s="2">
        <v>2023</v>
      </c>
      <c r="D36" s="2" t="s">
        <v>94</v>
      </c>
      <c r="E36" s="3" t="s">
        <v>59</v>
      </c>
      <c r="F36" s="2" t="s">
        <v>47</v>
      </c>
      <c r="G36" s="2">
        <v>4</v>
      </c>
      <c r="H36" s="4">
        <v>688</v>
      </c>
    </row>
    <row r="37" spans="1:8" x14ac:dyDescent="0.35">
      <c r="A37" s="2" t="s">
        <v>95</v>
      </c>
      <c r="B37" s="2" t="s">
        <v>96</v>
      </c>
      <c r="C37" s="2">
        <v>2023</v>
      </c>
      <c r="D37" s="2" t="s">
        <v>94</v>
      </c>
      <c r="E37" s="3" t="s">
        <v>70</v>
      </c>
      <c r="F37" s="2" t="s">
        <v>38</v>
      </c>
      <c r="G37" s="2">
        <v>4</v>
      </c>
      <c r="H37" s="4">
        <v>802</v>
      </c>
    </row>
    <row r="38" spans="1:8" x14ac:dyDescent="0.35">
      <c r="A38" s="2" t="s">
        <v>97</v>
      </c>
      <c r="B38" s="2" t="s">
        <v>96</v>
      </c>
      <c r="C38" s="2">
        <v>2023</v>
      </c>
      <c r="D38" s="2" t="s">
        <v>94</v>
      </c>
      <c r="E38" s="3" t="s">
        <v>20</v>
      </c>
      <c r="F38" s="2" t="s">
        <v>21</v>
      </c>
      <c r="G38" s="2">
        <v>3</v>
      </c>
      <c r="H38" s="4">
        <v>573</v>
      </c>
    </row>
    <row r="39" spans="1:8" x14ac:dyDescent="0.35">
      <c r="A39" s="2" t="s">
        <v>98</v>
      </c>
      <c r="B39" s="2" t="s">
        <v>99</v>
      </c>
      <c r="C39" s="2">
        <v>2023</v>
      </c>
      <c r="D39" s="2" t="s">
        <v>94</v>
      </c>
      <c r="E39" s="3" t="s">
        <v>34</v>
      </c>
      <c r="F39" s="2" t="s">
        <v>21</v>
      </c>
      <c r="G39" s="2">
        <v>5</v>
      </c>
      <c r="H39" s="4">
        <v>417</v>
      </c>
    </row>
    <row r="40" spans="1:8" x14ac:dyDescent="0.35">
      <c r="A40" s="2" t="s">
        <v>100</v>
      </c>
      <c r="B40" s="2" t="s">
        <v>101</v>
      </c>
      <c r="C40" s="2">
        <v>2023</v>
      </c>
      <c r="D40" s="2" t="s">
        <v>94</v>
      </c>
      <c r="E40" s="3" t="s">
        <v>28</v>
      </c>
      <c r="F40" s="2" t="s">
        <v>21</v>
      </c>
      <c r="G40" s="2">
        <v>3</v>
      </c>
      <c r="H40" s="4">
        <v>293</v>
      </c>
    </row>
    <row r="41" spans="1:8" x14ac:dyDescent="0.35">
      <c r="A41" s="2" t="s">
        <v>102</v>
      </c>
      <c r="B41" s="2" t="s">
        <v>103</v>
      </c>
      <c r="C41" s="2">
        <v>2023</v>
      </c>
      <c r="D41" s="2" t="s">
        <v>94</v>
      </c>
      <c r="E41" s="3" t="s">
        <v>34</v>
      </c>
      <c r="F41" s="2" t="s">
        <v>21</v>
      </c>
      <c r="G41" s="2">
        <v>4</v>
      </c>
      <c r="H41" s="4">
        <v>253</v>
      </c>
    </row>
    <row r="42" spans="1:8" x14ac:dyDescent="0.35">
      <c r="A42" s="2" t="s">
        <v>104</v>
      </c>
      <c r="B42" s="2" t="s">
        <v>105</v>
      </c>
      <c r="C42" s="2">
        <v>2023</v>
      </c>
      <c r="D42" s="2" t="s">
        <v>94</v>
      </c>
      <c r="E42" s="3" t="s">
        <v>70</v>
      </c>
      <c r="F42" s="2" t="s">
        <v>25</v>
      </c>
      <c r="G42" s="2">
        <v>1</v>
      </c>
      <c r="H42" s="4">
        <v>1530</v>
      </c>
    </row>
    <row r="43" spans="1:8" x14ac:dyDescent="0.35">
      <c r="A43" s="2" t="s">
        <v>106</v>
      </c>
      <c r="B43" s="2" t="s">
        <v>107</v>
      </c>
      <c r="C43" s="2">
        <v>2023</v>
      </c>
      <c r="D43" s="2" t="s">
        <v>94</v>
      </c>
      <c r="E43" s="3" t="s">
        <v>34</v>
      </c>
      <c r="F43" s="2" t="s">
        <v>21</v>
      </c>
      <c r="G43" s="2">
        <v>4</v>
      </c>
      <c r="H43" s="4">
        <v>1348</v>
      </c>
    </row>
    <row r="44" spans="1:8" x14ac:dyDescent="0.35">
      <c r="A44" s="2" t="s">
        <v>108</v>
      </c>
      <c r="B44" s="2" t="s">
        <v>107</v>
      </c>
      <c r="C44" s="2">
        <v>2023</v>
      </c>
      <c r="D44" s="2" t="s">
        <v>94</v>
      </c>
      <c r="E44" s="3" t="s">
        <v>12</v>
      </c>
      <c r="F44" s="2" t="s">
        <v>21</v>
      </c>
      <c r="G44" s="2">
        <v>5</v>
      </c>
      <c r="H44" s="4">
        <v>568</v>
      </c>
    </row>
    <row r="45" spans="1:8" x14ac:dyDescent="0.35">
      <c r="A45" s="2" t="s">
        <v>109</v>
      </c>
      <c r="B45" s="2" t="s">
        <v>110</v>
      </c>
      <c r="C45" s="2">
        <v>2023</v>
      </c>
      <c r="D45" s="2" t="s">
        <v>94</v>
      </c>
      <c r="E45" s="3" t="s">
        <v>34</v>
      </c>
      <c r="F45" s="2" t="s">
        <v>21</v>
      </c>
      <c r="G45" s="2">
        <v>1</v>
      </c>
      <c r="H45" s="4">
        <v>1471</v>
      </c>
    </row>
    <row r="46" spans="1:8" x14ac:dyDescent="0.35">
      <c r="A46" s="2" t="s">
        <v>111</v>
      </c>
      <c r="B46" s="2" t="s">
        <v>112</v>
      </c>
      <c r="C46" s="2">
        <v>2023</v>
      </c>
      <c r="D46" s="2" t="s">
        <v>113</v>
      </c>
      <c r="E46" s="3" t="s">
        <v>12</v>
      </c>
      <c r="F46" s="2" t="s">
        <v>25</v>
      </c>
      <c r="G46" s="2">
        <v>2</v>
      </c>
      <c r="H46" s="4">
        <v>1343</v>
      </c>
    </row>
    <row r="47" spans="1:8" x14ac:dyDescent="0.35">
      <c r="A47" s="2" t="s">
        <v>114</v>
      </c>
      <c r="B47" s="2" t="s">
        <v>115</v>
      </c>
      <c r="C47" s="2">
        <v>2023</v>
      </c>
      <c r="D47" s="2" t="s">
        <v>113</v>
      </c>
      <c r="E47" s="3" t="s">
        <v>12</v>
      </c>
      <c r="F47" s="2" t="s">
        <v>16</v>
      </c>
      <c r="G47" s="2">
        <v>5</v>
      </c>
      <c r="H47" s="4">
        <v>1720</v>
      </c>
    </row>
    <row r="48" spans="1:8" x14ac:dyDescent="0.35">
      <c r="A48" s="2" t="s">
        <v>116</v>
      </c>
      <c r="B48" s="2" t="s">
        <v>117</v>
      </c>
      <c r="C48" s="2">
        <v>2023</v>
      </c>
      <c r="D48" s="2" t="s">
        <v>113</v>
      </c>
      <c r="E48" s="3" t="s">
        <v>59</v>
      </c>
      <c r="F48" s="2" t="s">
        <v>25</v>
      </c>
      <c r="G48" s="2">
        <v>2</v>
      </c>
      <c r="H48" s="4">
        <v>1719</v>
      </c>
    </row>
    <row r="49" spans="1:8" x14ac:dyDescent="0.35">
      <c r="A49" s="2" t="s">
        <v>118</v>
      </c>
      <c r="B49" s="2" t="s">
        <v>119</v>
      </c>
      <c r="C49" s="2">
        <v>2023</v>
      </c>
      <c r="D49" s="2" t="s">
        <v>113</v>
      </c>
      <c r="E49" s="3" t="s">
        <v>34</v>
      </c>
      <c r="F49" s="2" t="s">
        <v>21</v>
      </c>
      <c r="G49" s="2">
        <v>2</v>
      </c>
      <c r="H49" s="4">
        <v>1679</v>
      </c>
    </row>
    <row r="50" spans="1:8" x14ac:dyDescent="0.35">
      <c r="A50" s="2" t="s">
        <v>120</v>
      </c>
      <c r="B50" s="2" t="s">
        <v>119</v>
      </c>
      <c r="C50" s="2">
        <v>2023</v>
      </c>
      <c r="D50" s="2" t="s">
        <v>113</v>
      </c>
      <c r="E50" s="3" t="s">
        <v>24</v>
      </c>
      <c r="F50" s="2" t="s">
        <v>47</v>
      </c>
      <c r="G50" s="2">
        <v>3</v>
      </c>
      <c r="H50" s="4">
        <v>583</v>
      </c>
    </row>
    <row r="51" spans="1:8" x14ac:dyDescent="0.35">
      <c r="A51" s="2" t="s">
        <v>121</v>
      </c>
      <c r="B51" s="2" t="s">
        <v>122</v>
      </c>
      <c r="C51" s="2">
        <v>2023</v>
      </c>
      <c r="D51" s="2" t="s">
        <v>113</v>
      </c>
      <c r="E51" s="3" t="s">
        <v>24</v>
      </c>
      <c r="F51" s="2" t="s">
        <v>16</v>
      </c>
      <c r="G51" s="2">
        <v>1</v>
      </c>
      <c r="H51" s="4">
        <v>1157</v>
      </c>
    </row>
    <row r="52" spans="1:8" x14ac:dyDescent="0.35">
      <c r="A52" s="2" t="s">
        <v>123</v>
      </c>
      <c r="B52" s="2" t="s">
        <v>124</v>
      </c>
      <c r="C52" s="2">
        <v>2023</v>
      </c>
      <c r="D52" s="2" t="s">
        <v>113</v>
      </c>
      <c r="E52" s="3" t="s">
        <v>12</v>
      </c>
      <c r="F52" s="2" t="s">
        <v>16</v>
      </c>
      <c r="G52" s="2">
        <v>1</v>
      </c>
      <c r="H52" s="4">
        <v>1028</v>
      </c>
    </row>
    <row r="53" spans="1:8" x14ac:dyDescent="0.35">
      <c r="A53" s="2" t="s">
        <v>125</v>
      </c>
      <c r="B53" s="2" t="s">
        <v>126</v>
      </c>
      <c r="C53" s="2">
        <v>2023</v>
      </c>
      <c r="D53" s="2" t="s">
        <v>113</v>
      </c>
      <c r="E53" s="3" t="s">
        <v>37</v>
      </c>
      <c r="F53" s="2" t="s">
        <v>16</v>
      </c>
      <c r="G53" s="2">
        <v>4</v>
      </c>
      <c r="H53" s="4">
        <v>256</v>
      </c>
    </row>
    <row r="54" spans="1:8" x14ac:dyDescent="0.35">
      <c r="A54" s="2" t="s">
        <v>127</v>
      </c>
      <c r="B54" s="2" t="s">
        <v>128</v>
      </c>
      <c r="C54" s="2">
        <v>2023</v>
      </c>
      <c r="D54" s="2" t="s">
        <v>129</v>
      </c>
      <c r="E54" s="3" t="s">
        <v>28</v>
      </c>
      <c r="F54" s="2" t="s">
        <v>16</v>
      </c>
      <c r="G54" s="2">
        <v>3</v>
      </c>
      <c r="H54" s="4">
        <v>1811</v>
      </c>
    </row>
    <row r="55" spans="1:8" x14ac:dyDescent="0.35">
      <c r="A55" s="2" t="s">
        <v>130</v>
      </c>
      <c r="B55" s="2" t="s">
        <v>131</v>
      </c>
      <c r="C55" s="2">
        <v>2023</v>
      </c>
      <c r="D55" s="2" t="s">
        <v>129</v>
      </c>
      <c r="E55" s="3" t="s">
        <v>24</v>
      </c>
      <c r="F55" s="2" t="s">
        <v>13</v>
      </c>
      <c r="G55" s="2">
        <v>1</v>
      </c>
      <c r="H55" s="4">
        <v>269</v>
      </c>
    </row>
    <row r="56" spans="1:8" x14ac:dyDescent="0.35">
      <c r="A56" s="2" t="s">
        <v>132</v>
      </c>
      <c r="B56" s="2" t="s">
        <v>133</v>
      </c>
      <c r="C56" s="2">
        <v>2023</v>
      </c>
      <c r="D56" s="2" t="s">
        <v>129</v>
      </c>
      <c r="E56" s="3" t="s">
        <v>28</v>
      </c>
      <c r="F56" s="2" t="s">
        <v>21</v>
      </c>
      <c r="G56" s="2">
        <v>2</v>
      </c>
      <c r="H56" s="4">
        <v>1411</v>
      </c>
    </row>
    <row r="57" spans="1:8" x14ac:dyDescent="0.35">
      <c r="A57" s="2" t="s">
        <v>134</v>
      </c>
      <c r="B57" s="2" t="s">
        <v>135</v>
      </c>
      <c r="C57" s="2">
        <v>2023</v>
      </c>
      <c r="D57" s="2" t="s">
        <v>129</v>
      </c>
      <c r="E57" s="3" t="s">
        <v>20</v>
      </c>
      <c r="F57" s="2" t="s">
        <v>21</v>
      </c>
      <c r="G57" s="2">
        <v>1</v>
      </c>
      <c r="H57" s="4">
        <v>982</v>
      </c>
    </row>
    <row r="58" spans="1:8" x14ac:dyDescent="0.35">
      <c r="A58" s="2" t="s">
        <v>136</v>
      </c>
      <c r="B58" s="2" t="s">
        <v>137</v>
      </c>
      <c r="C58" s="2">
        <v>2023</v>
      </c>
      <c r="D58" s="2" t="s">
        <v>129</v>
      </c>
      <c r="E58" s="3" t="s">
        <v>28</v>
      </c>
      <c r="F58" s="2" t="s">
        <v>13</v>
      </c>
      <c r="G58" s="2">
        <v>4</v>
      </c>
      <c r="H58" s="4">
        <v>518</v>
      </c>
    </row>
    <row r="59" spans="1:8" x14ac:dyDescent="0.35">
      <c r="A59" s="2" t="s">
        <v>138</v>
      </c>
      <c r="B59" s="2" t="s">
        <v>139</v>
      </c>
      <c r="C59" s="2">
        <v>2023</v>
      </c>
      <c r="D59" s="2" t="s">
        <v>129</v>
      </c>
      <c r="E59" s="3" t="s">
        <v>28</v>
      </c>
      <c r="F59" s="2" t="s">
        <v>47</v>
      </c>
      <c r="G59" s="2">
        <v>4</v>
      </c>
      <c r="H59" s="4">
        <v>1060</v>
      </c>
    </row>
    <row r="60" spans="1:8" x14ac:dyDescent="0.35">
      <c r="A60" s="2" t="s">
        <v>140</v>
      </c>
      <c r="B60" s="2" t="s">
        <v>141</v>
      </c>
      <c r="C60" s="2">
        <v>2023</v>
      </c>
      <c r="D60" s="2" t="s">
        <v>142</v>
      </c>
      <c r="E60" s="3" t="s">
        <v>59</v>
      </c>
      <c r="F60" s="2" t="s">
        <v>21</v>
      </c>
      <c r="G60" s="2">
        <v>3</v>
      </c>
      <c r="H60" s="4">
        <v>969</v>
      </c>
    </row>
    <row r="61" spans="1:8" x14ac:dyDescent="0.35">
      <c r="A61" s="2" t="s">
        <v>143</v>
      </c>
      <c r="B61" s="2" t="s">
        <v>144</v>
      </c>
      <c r="C61" s="2">
        <v>2023</v>
      </c>
      <c r="D61" s="2" t="s">
        <v>142</v>
      </c>
      <c r="E61" s="3" t="s">
        <v>20</v>
      </c>
      <c r="F61" s="2" t="s">
        <v>21</v>
      </c>
      <c r="G61" s="2">
        <v>1</v>
      </c>
      <c r="H61" s="4">
        <v>1724</v>
      </c>
    </row>
    <row r="62" spans="1:8" x14ac:dyDescent="0.35">
      <c r="A62" s="2" t="s">
        <v>145</v>
      </c>
      <c r="B62" s="2" t="s">
        <v>146</v>
      </c>
      <c r="C62" s="2">
        <v>2023</v>
      </c>
      <c r="D62" s="2" t="s">
        <v>142</v>
      </c>
      <c r="E62" s="3" t="s">
        <v>37</v>
      </c>
      <c r="F62" s="2" t="s">
        <v>47</v>
      </c>
      <c r="G62" s="2">
        <v>2</v>
      </c>
      <c r="H62" s="4">
        <v>796</v>
      </c>
    </row>
    <row r="63" spans="1:8" x14ac:dyDescent="0.35">
      <c r="A63" s="2" t="s">
        <v>147</v>
      </c>
      <c r="B63" s="2" t="s">
        <v>148</v>
      </c>
      <c r="C63" s="2">
        <v>2023</v>
      </c>
      <c r="D63" s="2" t="s">
        <v>142</v>
      </c>
      <c r="E63" s="3" t="s">
        <v>12</v>
      </c>
      <c r="F63" s="2" t="s">
        <v>16</v>
      </c>
      <c r="G63" s="2">
        <v>2</v>
      </c>
      <c r="H63" s="4">
        <v>639</v>
      </c>
    </row>
    <row r="64" spans="1:8" x14ac:dyDescent="0.35">
      <c r="A64" s="2" t="s">
        <v>149</v>
      </c>
      <c r="B64" s="2" t="s">
        <v>150</v>
      </c>
      <c r="C64" s="2">
        <v>2023</v>
      </c>
      <c r="D64" s="2" t="s">
        <v>142</v>
      </c>
      <c r="E64" s="3" t="s">
        <v>28</v>
      </c>
      <c r="F64" s="2" t="s">
        <v>47</v>
      </c>
      <c r="G64" s="2">
        <v>3</v>
      </c>
      <c r="H64" s="4">
        <v>1285</v>
      </c>
    </row>
    <row r="65" spans="1:8" x14ac:dyDescent="0.35">
      <c r="A65" s="2" t="s">
        <v>151</v>
      </c>
      <c r="B65" s="2" t="s">
        <v>152</v>
      </c>
      <c r="C65" s="2">
        <v>2024</v>
      </c>
      <c r="D65" s="2" t="s">
        <v>11</v>
      </c>
      <c r="E65" s="3" t="s">
        <v>20</v>
      </c>
      <c r="F65" s="2" t="s">
        <v>21</v>
      </c>
      <c r="G65" s="2">
        <v>2</v>
      </c>
      <c r="H65" s="4">
        <v>1622</v>
      </c>
    </row>
    <row r="66" spans="1:8" x14ac:dyDescent="0.35">
      <c r="A66" s="2" t="s">
        <v>153</v>
      </c>
      <c r="B66" s="2" t="s">
        <v>154</v>
      </c>
      <c r="C66" s="2">
        <v>2024</v>
      </c>
      <c r="D66" s="2" t="s">
        <v>11</v>
      </c>
      <c r="E66" s="3" t="s">
        <v>24</v>
      </c>
      <c r="F66" s="2" t="s">
        <v>25</v>
      </c>
      <c r="G66" s="2">
        <v>4</v>
      </c>
      <c r="H66" s="4">
        <v>497</v>
      </c>
    </row>
    <row r="67" spans="1:8" x14ac:dyDescent="0.35">
      <c r="A67" s="2" t="s">
        <v>155</v>
      </c>
      <c r="B67" s="2" t="s">
        <v>156</v>
      </c>
      <c r="C67" s="2">
        <v>2024</v>
      </c>
      <c r="D67" s="2" t="s">
        <v>11</v>
      </c>
      <c r="E67" s="3" t="s">
        <v>34</v>
      </c>
      <c r="F67" s="2" t="s">
        <v>21</v>
      </c>
      <c r="G67" s="2">
        <v>4</v>
      </c>
      <c r="H67" s="4">
        <v>793</v>
      </c>
    </row>
    <row r="68" spans="1:8" x14ac:dyDescent="0.35">
      <c r="A68" s="2" t="s">
        <v>157</v>
      </c>
      <c r="B68" s="2" t="s">
        <v>158</v>
      </c>
      <c r="C68" s="2">
        <v>2024</v>
      </c>
      <c r="D68" s="2" t="s">
        <v>11</v>
      </c>
      <c r="E68" s="3" t="s">
        <v>12</v>
      </c>
      <c r="F68" s="2" t="s">
        <v>13</v>
      </c>
      <c r="G68" s="2">
        <v>3</v>
      </c>
      <c r="H68" s="4">
        <v>1486</v>
      </c>
    </row>
    <row r="69" spans="1:8" x14ac:dyDescent="0.35">
      <c r="A69" s="2" t="s">
        <v>159</v>
      </c>
      <c r="B69" s="2" t="s">
        <v>160</v>
      </c>
      <c r="C69" s="2">
        <v>2024</v>
      </c>
      <c r="D69" s="2" t="s">
        <v>33</v>
      </c>
      <c r="E69" s="3" t="s">
        <v>20</v>
      </c>
      <c r="F69" s="2" t="s">
        <v>21</v>
      </c>
      <c r="G69" s="2">
        <v>3</v>
      </c>
      <c r="H69" s="4">
        <v>668</v>
      </c>
    </row>
    <row r="70" spans="1:8" x14ac:dyDescent="0.35">
      <c r="A70" s="2" t="s">
        <v>161</v>
      </c>
      <c r="B70" s="2" t="s">
        <v>162</v>
      </c>
      <c r="C70" s="2">
        <v>2024</v>
      </c>
      <c r="D70" s="2" t="s">
        <v>33</v>
      </c>
      <c r="E70" s="3" t="s">
        <v>20</v>
      </c>
      <c r="F70" s="2" t="s">
        <v>21</v>
      </c>
      <c r="G70" s="2">
        <v>3</v>
      </c>
      <c r="H70" s="4">
        <v>568</v>
      </c>
    </row>
    <row r="71" spans="1:8" x14ac:dyDescent="0.35">
      <c r="A71" s="2" t="s">
        <v>163</v>
      </c>
      <c r="B71" s="2" t="s">
        <v>164</v>
      </c>
      <c r="C71" s="2">
        <v>2024</v>
      </c>
      <c r="D71" s="2" t="s">
        <v>33</v>
      </c>
      <c r="E71" s="3" t="s">
        <v>37</v>
      </c>
      <c r="F71" s="2" t="s">
        <v>38</v>
      </c>
      <c r="G71" s="2">
        <v>1</v>
      </c>
      <c r="H71" s="4">
        <v>1629</v>
      </c>
    </row>
    <row r="72" spans="1:8" x14ac:dyDescent="0.35">
      <c r="A72" s="2" t="s">
        <v>165</v>
      </c>
      <c r="B72" s="2" t="s">
        <v>164</v>
      </c>
      <c r="C72" s="2">
        <v>2024</v>
      </c>
      <c r="D72" s="2" t="s">
        <v>33</v>
      </c>
      <c r="E72" s="3" t="s">
        <v>59</v>
      </c>
      <c r="F72" s="2" t="s">
        <v>21</v>
      </c>
      <c r="G72" s="2">
        <v>1</v>
      </c>
      <c r="H72" s="4">
        <v>933</v>
      </c>
    </row>
    <row r="73" spans="1:8" x14ac:dyDescent="0.35">
      <c r="A73" s="2" t="s">
        <v>166</v>
      </c>
      <c r="B73" s="2" t="s">
        <v>167</v>
      </c>
      <c r="C73" s="2">
        <v>2024</v>
      </c>
      <c r="D73" s="2" t="s">
        <v>33</v>
      </c>
      <c r="E73" s="3" t="s">
        <v>34</v>
      </c>
      <c r="F73" s="2" t="s">
        <v>21</v>
      </c>
      <c r="G73" s="2">
        <v>1</v>
      </c>
      <c r="H73" s="4">
        <v>404</v>
      </c>
    </row>
    <row r="74" spans="1:8" x14ac:dyDescent="0.35">
      <c r="A74" s="2" t="s">
        <v>168</v>
      </c>
      <c r="B74" s="2" t="s">
        <v>169</v>
      </c>
      <c r="C74" s="2">
        <v>2024</v>
      </c>
      <c r="D74" s="2" t="s">
        <v>33</v>
      </c>
      <c r="E74" s="3" t="s">
        <v>20</v>
      </c>
      <c r="F74" s="2" t="s">
        <v>21</v>
      </c>
      <c r="G74" s="2">
        <v>3</v>
      </c>
      <c r="H74" s="4">
        <v>1143</v>
      </c>
    </row>
    <row r="75" spans="1:8" x14ac:dyDescent="0.35">
      <c r="A75" s="2" t="s">
        <v>170</v>
      </c>
      <c r="B75" s="2" t="s">
        <v>171</v>
      </c>
      <c r="C75" s="2">
        <v>2024</v>
      </c>
      <c r="D75" s="2" t="s">
        <v>33</v>
      </c>
      <c r="E75" s="3" t="s">
        <v>59</v>
      </c>
      <c r="F75" s="2" t="s">
        <v>25</v>
      </c>
      <c r="G75" s="2">
        <v>5</v>
      </c>
      <c r="H75" s="4">
        <v>266</v>
      </c>
    </row>
    <row r="76" spans="1:8" x14ac:dyDescent="0.35">
      <c r="A76" s="2" t="s">
        <v>172</v>
      </c>
      <c r="B76" s="2" t="s">
        <v>173</v>
      </c>
      <c r="C76" s="2">
        <v>2024</v>
      </c>
      <c r="D76" s="2" t="s">
        <v>50</v>
      </c>
      <c r="E76" s="3" t="s">
        <v>59</v>
      </c>
      <c r="F76" s="2" t="s">
        <v>38</v>
      </c>
      <c r="G76" s="2">
        <v>5</v>
      </c>
      <c r="H76" s="4">
        <v>1605</v>
      </c>
    </row>
    <row r="77" spans="1:8" x14ac:dyDescent="0.35">
      <c r="A77" s="2" t="s">
        <v>174</v>
      </c>
      <c r="B77" s="2" t="s">
        <v>175</v>
      </c>
      <c r="C77" s="2">
        <v>2024</v>
      </c>
      <c r="D77" s="2" t="s">
        <v>50</v>
      </c>
      <c r="E77" s="3" t="s">
        <v>70</v>
      </c>
      <c r="F77" s="2" t="s">
        <v>13</v>
      </c>
      <c r="G77" s="2">
        <v>2</v>
      </c>
      <c r="H77" s="4">
        <v>755</v>
      </c>
    </row>
    <row r="78" spans="1:8" x14ac:dyDescent="0.35">
      <c r="A78" s="2" t="s">
        <v>176</v>
      </c>
      <c r="B78" s="2" t="s">
        <v>175</v>
      </c>
      <c r="C78" s="2">
        <v>2024</v>
      </c>
      <c r="D78" s="2" t="s">
        <v>50</v>
      </c>
      <c r="E78" s="3" t="s">
        <v>12</v>
      </c>
      <c r="F78" s="2" t="s">
        <v>21</v>
      </c>
      <c r="G78" s="2">
        <v>5</v>
      </c>
      <c r="H78" s="4">
        <v>686</v>
      </c>
    </row>
    <row r="79" spans="1:8" x14ac:dyDescent="0.35">
      <c r="A79" s="2" t="s">
        <v>177</v>
      </c>
      <c r="B79" s="2" t="s">
        <v>178</v>
      </c>
      <c r="C79" s="2">
        <v>2024</v>
      </c>
      <c r="D79" s="2" t="s">
        <v>50</v>
      </c>
      <c r="E79" s="3" t="s">
        <v>28</v>
      </c>
      <c r="F79" s="2" t="s">
        <v>38</v>
      </c>
      <c r="G79" s="2">
        <v>4</v>
      </c>
      <c r="H79" s="4">
        <v>639</v>
      </c>
    </row>
    <row r="80" spans="1:8" x14ac:dyDescent="0.35">
      <c r="A80" s="2" t="s">
        <v>179</v>
      </c>
      <c r="B80" s="2" t="s">
        <v>180</v>
      </c>
      <c r="C80" s="2">
        <v>2024</v>
      </c>
      <c r="D80" s="2" t="s">
        <v>62</v>
      </c>
      <c r="E80" s="3" t="s">
        <v>28</v>
      </c>
      <c r="F80" s="2" t="s">
        <v>38</v>
      </c>
      <c r="G80" s="2">
        <v>1</v>
      </c>
      <c r="H80" s="4">
        <v>587</v>
      </c>
    </row>
    <row r="81" spans="1:8" x14ac:dyDescent="0.35">
      <c r="A81" s="2" t="s">
        <v>181</v>
      </c>
      <c r="B81" s="2" t="s">
        <v>182</v>
      </c>
      <c r="C81" s="2">
        <v>2024</v>
      </c>
      <c r="D81" s="2" t="s">
        <v>62</v>
      </c>
      <c r="E81" s="3" t="s">
        <v>70</v>
      </c>
      <c r="F81" s="2" t="s">
        <v>16</v>
      </c>
      <c r="G81" s="2">
        <v>3</v>
      </c>
      <c r="H81" s="4">
        <v>695</v>
      </c>
    </row>
    <row r="82" spans="1:8" x14ac:dyDescent="0.35">
      <c r="A82" s="2" t="s">
        <v>183</v>
      </c>
      <c r="B82" s="2" t="s">
        <v>184</v>
      </c>
      <c r="C82" s="2">
        <v>2024</v>
      </c>
      <c r="D82" s="2" t="s">
        <v>62</v>
      </c>
      <c r="E82" s="3" t="s">
        <v>34</v>
      </c>
      <c r="F82" s="2" t="s">
        <v>21</v>
      </c>
      <c r="G82" s="2">
        <v>1</v>
      </c>
      <c r="H82" s="4">
        <v>993</v>
      </c>
    </row>
    <row r="83" spans="1:8" x14ac:dyDescent="0.35">
      <c r="A83" s="2" t="s">
        <v>185</v>
      </c>
      <c r="B83" s="2" t="s">
        <v>184</v>
      </c>
      <c r="C83" s="2">
        <v>2024</v>
      </c>
      <c r="D83" s="2" t="s">
        <v>62</v>
      </c>
      <c r="E83" s="3" t="s">
        <v>59</v>
      </c>
      <c r="F83" s="2" t="s">
        <v>21</v>
      </c>
      <c r="G83" s="2">
        <v>1</v>
      </c>
      <c r="H83" s="4">
        <v>1549</v>
      </c>
    </row>
    <row r="84" spans="1:8" x14ac:dyDescent="0.35">
      <c r="A84" s="2" t="s">
        <v>186</v>
      </c>
      <c r="B84" s="2" t="s">
        <v>187</v>
      </c>
      <c r="C84" s="2">
        <v>2024</v>
      </c>
      <c r="D84" s="2" t="s">
        <v>67</v>
      </c>
      <c r="E84" s="3" t="s">
        <v>59</v>
      </c>
      <c r="F84" s="2" t="s">
        <v>16</v>
      </c>
      <c r="G84" s="2">
        <v>3</v>
      </c>
      <c r="H84" s="4">
        <v>390</v>
      </c>
    </row>
    <row r="85" spans="1:8" x14ac:dyDescent="0.35">
      <c r="A85" s="2" t="s">
        <v>188</v>
      </c>
      <c r="B85" s="2" t="s">
        <v>189</v>
      </c>
      <c r="C85" s="2">
        <v>2024</v>
      </c>
      <c r="D85" s="2" t="s">
        <v>67</v>
      </c>
      <c r="E85" s="3" t="s">
        <v>24</v>
      </c>
      <c r="F85" s="2" t="s">
        <v>21</v>
      </c>
      <c r="G85" s="2">
        <v>1</v>
      </c>
      <c r="H85" s="4">
        <v>474</v>
      </c>
    </row>
    <row r="86" spans="1:8" x14ac:dyDescent="0.35">
      <c r="A86" s="2" t="s">
        <v>190</v>
      </c>
      <c r="B86" s="2" t="s">
        <v>189</v>
      </c>
      <c r="C86" s="2">
        <v>2024</v>
      </c>
      <c r="D86" s="2" t="s">
        <v>67</v>
      </c>
      <c r="E86" s="3" t="s">
        <v>37</v>
      </c>
      <c r="F86" s="2" t="s">
        <v>47</v>
      </c>
      <c r="G86" s="2">
        <v>5</v>
      </c>
      <c r="H86" s="4">
        <v>928</v>
      </c>
    </row>
    <row r="87" spans="1:8" x14ac:dyDescent="0.35">
      <c r="A87" s="2" t="s">
        <v>191</v>
      </c>
      <c r="B87" s="2" t="s">
        <v>192</v>
      </c>
      <c r="C87" s="2">
        <v>2024</v>
      </c>
      <c r="D87" s="2" t="s">
        <v>67</v>
      </c>
      <c r="E87" s="3" t="s">
        <v>28</v>
      </c>
      <c r="F87" s="2" t="s">
        <v>13</v>
      </c>
      <c r="G87" s="2">
        <v>4</v>
      </c>
      <c r="H87" s="4">
        <v>393</v>
      </c>
    </row>
    <row r="88" spans="1:8" x14ac:dyDescent="0.35">
      <c r="A88" s="2" t="s">
        <v>193</v>
      </c>
      <c r="B88" s="2" t="s">
        <v>194</v>
      </c>
      <c r="C88" s="2">
        <v>2024</v>
      </c>
      <c r="D88" s="2" t="s">
        <v>67</v>
      </c>
      <c r="E88" s="3" t="s">
        <v>59</v>
      </c>
      <c r="F88" s="2" t="s">
        <v>25</v>
      </c>
      <c r="G88" s="2">
        <v>1</v>
      </c>
      <c r="H88" s="4">
        <v>1643</v>
      </c>
    </row>
    <row r="89" spans="1:8" x14ac:dyDescent="0.35">
      <c r="A89" s="2" t="s">
        <v>195</v>
      </c>
      <c r="B89" s="2" t="s">
        <v>196</v>
      </c>
      <c r="C89" s="2">
        <v>2024</v>
      </c>
      <c r="D89" s="2" t="s">
        <v>67</v>
      </c>
      <c r="E89" s="3" t="s">
        <v>70</v>
      </c>
      <c r="F89" s="2" t="s">
        <v>16</v>
      </c>
      <c r="G89" s="2">
        <v>4</v>
      </c>
      <c r="H89" s="4">
        <v>1375</v>
      </c>
    </row>
    <row r="90" spans="1:8" x14ac:dyDescent="0.35">
      <c r="A90" s="2" t="s">
        <v>197</v>
      </c>
      <c r="B90" s="2" t="s">
        <v>198</v>
      </c>
      <c r="C90" s="2">
        <v>2024</v>
      </c>
      <c r="D90" s="2" t="s">
        <v>199</v>
      </c>
      <c r="E90" s="3" t="s">
        <v>24</v>
      </c>
      <c r="F90" s="2" t="s">
        <v>16</v>
      </c>
      <c r="G90" s="2">
        <v>4</v>
      </c>
      <c r="H90" s="4">
        <v>625</v>
      </c>
    </row>
    <row r="91" spans="1:8" x14ac:dyDescent="0.35">
      <c r="A91" s="2" t="s">
        <v>200</v>
      </c>
      <c r="B91" s="2" t="s">
        <v>201</v>
      </c>
      <c r="C91" s="2">
        <v>2024</v>
      </c>
      <c r="D91" s="2" t="s">
        <v>199</v>
      </c>
      <c r="E91" s="3" t="s">
        <v>70</v>
      </c>
      <c r="F91" s="2" t="s">
        <v>47</v>
      </c>
      <c r="G91" s="2">
        <v>5</v>
      </c>
      <c r="H91" s="4">
        <v>1430</v>
      </c>
    </row>
    <row r="92" spans="1:8" x14ac:dyDescent="0.35">
      <c r="A92" s="2" t="s">
        <v>202</v>
      </c>
      <c r="B92" s="2" t="s">
        <v>203</v>
      </c>
      <c r="C92" s="2">
        <v>2024</v>
      </c>
      <c r="D92" s="2" t="s">
        <v>199</v>
      </c>
      <c r="E92" s="3" t="s">
        <v>12</v>
      </c>
      <c r="F92" s="2" t="s">
        <v>25</v>
      </c>
      <c r="G92" s="2">
        <v>4</v>
      </c>
      <c r="H92" s="4">
        <v>315</v>
      </c>
    </row>
    <row r="93" spans="1:8" x14ac:dyDescent="0.35">
      <c r="A93" s="2" t="s">
        <v>204</v>
      </c>
      <c r="B93" s="2" t="s">
        <v>203</v>
      </c>
      <c r="C93" s="2">
        <v>2024</v>
      </c>
      <c r="D93" s="2" t="s">
        <v>199</v>
      </c>
      <c r="E93" s="3" t="s">
        <v>37</v>
      </c>
      <c r="F93" s="2" t="s">
        <v>16</v>
      </c>
      <c r="G93" s="2">
        <v>4</v>
      </c>
      <c r="H93" s="4">
        <v>1456</v>
      </c>
    </row>
    <row r="94" spans="1:8" x14ac:dyDescent="0.35">
      <c r="A94" s="2" t="s">
        <v>205</v>
      </c>
      <c r="B94" s="2" t="s">
        <v>206</v>
      </c>
      <c r="C94" s="2">
        <v>2024</v>
      </c>
      <c r="D94" s="2" t="s">
        <v>199</v>
      </c>
      <c r="E94" s="3" t="s">
        <v>12</v>
      </c>
      <c r="F94" s="2" t="s">
        <v>21</v>
      </c>
      <c r="G94" s="2">
        <v>5</v>
      </c>
      <c r="H94" s="4">
        <v>280</v>
      </c>
    </row>
    <row r="95" spans="1:8" x14ac:dyDescent="0.35">
      <c r="A95" s="2" t="s">
        <v>207</v>
      </c>
      <c r="B95" s="2" t="s">
        <v>208</v>
      </c>
      <c r="C95" s="2">
        <v>2024</v>
      </c>
      <c r="D95" s="2" t="s">
        <v>199</v>
      </c>
      <c r="E95" s="3" t="s">
        <v>70</v>
      </c>
      <c r="F95" s="2" t="s">
        <v>38</v>
      </c>
      <c r="G95" s="2">
        <v>2</v>
      </c>
      <c r="H95" s="4">
        <v>335</v>
      </c>
    </row>
    <row r="96" spans="1:8" x14ac:dyDescent="0.35">
      <c r="A96" s="2" t="s">
        <v>209</v>
      </c>
      <c r="B96" s="2" t="s">
        <v>210</v>
      </c>
      <c r="C96" s="2">
        <v>2024</v>
      </c>
      <c r="D96" s="2" t="s">
        <v>199</v>
      </c>
      <c r="E96" s="3" t="s">
        <v>59</v>
      </c>
      <c r="F96" s="2" t="s">
        <v>47</v>
      </c>
      <c r="G96" s="2">
        <v>1</v>
      </c>
      <c r="H96" s="4">
        <v>525</v>
      </c>
    </row>
    <row r="97" spans="1:8" x14ac:dyDescent="0.35">
      <c r="A97" s="2" t="s">
        <v>211</v>
      </c>
      <c r="B97" s="2" t="s">
        <v>212</v>
      </c>
      <c r="C97" s="2">
        <v>2024</v>
      </c>
      <c r="D97" s="2" t="s">
        <v>199</v>
      </c>
      <c r="E97" s="3" t="s">
        <v>28</v>
      </c>
      <c r="F97" s="2" t="s">
        <v>47</v>
      </c>
      <c r="G97" s="2">
        <v>3</v>
      </c>
      <c r="H97" s="4">
        <v>1823</v>
      </c>
    </row>
    <row r="98" spans="1:8" x14ac:dyDescent="0.35">
      <c r="A98" s="2" t="s">
        <v>213</v>
      </c>
      <c r="B98" s="2" t="s">
        <v>214</v>
      </c>
      <c r="C98" s="2">
        <v>2024</v>
      </c>
      <c r="D98" s="2" t="s">
        <v>199</v>
      </c>
      <c r="E98" s="3" t="s">
        <v>37</v>
      </c>
      <c r="F98" s="2" t="s">
        <v>25</v>
      </c>
      <c r="G98" s="2">
        <v>2</v>
      </c>
      <c r="H98" s="4">
        <v>734</v>
      </c>
    </row>
    <row r="99" spans="1:8" x14ac:dyDescent="0.35">
      <c r="A99" s="2" t="s">
        <v>215</v>
      </c>
      <c r="B99" s="2" t="s">
        <v>216</v>
      </c>
      <c r="C99" s="2">
        <v>2024</v>
      </c>
      <c r="D99" s="2" t="s">
        <v>199</v>
      </c>
      <c r="E99" s="3" t="s">
        <v>59</v>
      </c>
      <c r="F99" s="2" t="s">
        <v>47</v>
      </c>
      <c r="G99" s="2">
        <v>5</v>
      </c>
      <c r="H99" s="4">
        <v>1127</v>
      </c>
    </row>
    <row r="100" spans="1:8" x14ac:dyDescent="0.35">
      <c r="A100" s="2" t="s">
        <v>217</v>
      </c>
      <c r="B100" s="2" t="s">
        <v>218</v>
      </c>
      <c r="C100" s="2">
        <v>2024</v>
      </c>
      <c r="D100" s="2" t="s">
        <v>81</v>
      </c>
      <c r="E100" s="3" t="s">
        <v>37</v>
      </c>
      <c r="F100" s="2" t="s">
        <v>13</v>
      </c>
      <c r="G100" s="2">
        <v>2</v>
      </c>
      <c r="H100" s="4">
        <v>533</v>
      </c>
    </row>
    <row r="101" spans="1:8" x14ac:dyDescent="0.35">
      <c r="A101" s="2" t="s">
        <v>219</v>
      </c>
      <c r="B101" s="2" t="s">
        <v>220</v>
      </c>
      <c r="C101" s="2">
        <v>2024</v>
      </c>
      <c r="D101" s="2" t="s">
        <v>81</v>
      </c>
      <c r="E101" s="3" t="s">
        <v>28</v>
      </c>
      <c r="F101" s="2" t="s">
        <v>25</v>
      </c>
      <c r="G101" s="2">
        <v>2</v>
      </c>
      <c r="H101" s="4">
        <v>264</v>
      </c>
    </row>
    <row r="102" spans="1:8" x14ac:dyDescent="0.35">
      <c r="A102" s="2" t="s">
        <v>221</v>
      </c>
      <c r="B102" s="2" t="s">
        <v>222</v>
      </c>
      <c r="C102" s="2">
        <v>2024</v>
      </c>
      <c r="D102" s="2" t="s">
        <v>94</v>
      </c>
      <c r="E102" s="3" t="s">
        <v>34</v>
      </c>
      <c r="F102" s="2" t="s">
        <v>21</v>
      </c>
      <c r="G102" s="2">
        <v>5</v>
      </c>
      <c r="H102" s="4">
        <v>657</v>
      </c>
    </row>
    <row r="103" spans="1:8" x14ac:dyDescent="0.35">
      <c r="A103" s="2" t="s">
        <v>223</v>
      </c>
      <c r="B103" s="2" t="s">
        <v>224</v>
      </c>
      <c r="C103" s="2">
        <v>2024</v>
      </c>
      <c r="D103" s="2" t="s">
        <v>94</v>
      </c>
      <c r="E103" s="3" t="s">
        <v>12</v>
      </c>
      <c r="F103" s="2" t="s">
        <v>38</v>
      </c>
      <c r="G103" s="2">
        <v>5</v>
      </c>
      <c r="H103" s="4">
        <v>639</v>
      </c>
    </row>
    <row r="104" spans="1:8" x14ac:dyDescent="0.35">
      <c r="A104" s="2" t="s">
        <v>225</v>
      </c>
      <c r="B104" s="2" t="s">
        <v>226</v>
      </c>
      <c r="C104" s="2">
        <v>2024</v>
      </c>
      <c r="D104" s="2" t="s">
        <v>113</v>
      </c>
      <c r="E104" s="3" t="s">
        <v>20</v>
      </c>
      <c r="F104" s="2" t="s">
        <v>21</v>
      </c>
      <c r="G104" s="2">
        <v>5</v>
      </c>
      <c r="H104" s="4">
        <v>643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3"/>
  <sheetViews>
    <sheetView workbookViewId="0"/>
  </sheetViews>
  <sheetFormatPr defaultRowHeight="14.5" x14ac:dyDescent="0.35"/>
  <cols>
    <col min="1" max="1" width="80" customWidth="1"/>
    <col min="2" max="3" width="17" customWidth="1"/>
    <col min="4" max="4" width="18" customWidth="1"/>
    <col min="5" max="6" width="14" customWidth="1"/>
  </cols>
  <sheetData>
    <row r="1" spans="1:6" ht="32" customHeight="1" x14ac:dyDescent="0.35">
      <c r="A1" s="27" t="s">
        <v>227</v>
      </c>
      <c r="B1" s="28"/>
      <c r="C1" s="28"/>
      <c r="D1" s="28"/>
      <c r="E1" s="28"/>
      <c r="F1" s="28"/>
    </row>
    <row r="3" spans="1:6" ht="17" x14ac:dyDescent="0.4">
      <c r="A3" s="5" t="s">
        <v>228</v>
      </c>
    </row>
    <row r="4" spans="1:6" x14ac:dyDescent="0.35">
      <c r="A4" s="1" t="s">
        <v>229</v>
      </c>
      <c r="B4" s="1" t="s">
        <v>230</v>
      </c>
      <c r="C4" s="1" t="s">
        <v>231</v>
      </c>
      <c r="D4" s="1" t="s">
        <v>232</v>
      </c>
    </row>
    <row r="5" spans="1:6" x14ac:dyDescent="0.35">
      <c r="A5" s="6" t="s">
        <v>11</v>
      </c>
      <c r="B5" s="4">
        <v>2723</v>
      </c>
      <c r="C5" s="4">
        <v>4398</v>
      </c>
      <c r="D5" s="7">
        <f t="shared" ref="D5:D16" si="0">SUM(B5:C5)</f>
        <v>7121</v>
      </c>
    </row>
    <row r="6" spans="1:6" x14ac:dyDescent="0.35">
      <c r="A6" s="6" t="s">
        <v>19</v>
      </c>
      <c r="B6" s="4">
        <v>4413</v>
      </c>
      <c r="C6" s="4">
        <v>0</v>
      </c>
      <c r="D6" s="7">
        <f t="shared" si="0"/>
        <v>4413</v>
      </c>
    </row>
    <row r="7" spans="1:6" x14ac:dyDescent="0.35">
      <c r="A7" s="6" t="s">
        <v>33</v>
      </c>
      <c r="B7" s="4">
        <v>5603</v>
      </c>
      <c r="C7" s="4">
        <v>5611</v>
      </c>
      <c r="D7" s="7">
        <f t="shared" si="0"/>
        <v>11214</v>
      </c>
    </row>
    <row r="8" spans="1:6" x14ac:dyDescent="0.35">
      <c r="A8" s="6" t="s">
        <v>50</v>
      </c>
      <c r="B8" s="4">
        <v>5189</v>
      </c>
      <c r="C8" s="4">
        <v>3685</v>
      </c>
      <c r="D8" s="7">
        <f t="shared" si="0"/>
        <v>8874</v>
      </c>
    </row>
    <row r="9" spans="1:6" x14ac:dyDescent="0.35">
      <c r="A9" s="6" t="s">
        <v>62</v>
      </c>
      <c r="B9" s="4">
        <v>2229</v>
      </c>
      <c r="C9" s="4">
        <v>3824</v>
      </c>
      <c r="D9" s="7">
        <f t="shared" si="0"/>
        <v>6053</v>
      </c>
    </row>
    <row r="10" spans="1:6" x14ac:dyDescent="0.35">
      <c r="A10" s="6" t="s">
        <v>67</v>
      </c>
      <c r="B10" s="4">
        <v>6772</v>
      </c>
      <c r="C10" s="4">
        <v>5203</v>
      </c>
      <c r="D10" s="7">
        <f t="shared" si="0"/>
        <v>11975</v>
      </c>
    </row>
    <row r="11" spans="1:6" x14ac:dyDescent="0.35">
      <c r="A11" s="6" t="s">
        <v>199</v>
      </c>
      <c r="B11" s="4">
        <v>0</v>
      </c>
      <c r="C11" s="4">
        <v>8650</v>
      </c>
      <c r="D11" s="7">
        <f t="shared" si="0"/>
        <v>8650</v>
      </c>
    </row>
    <row r="12" spans="1:6" x14ac:dyDescent="0.35">
      <c r="A12" s="6" t="s">
        <v>81</v>
      </c>
      <c r="B12" s="4">
        <v>6056</v>
      </c>
      <c r="C12" s="4">
        <v>797</v>
      </c>
      <c r="D12" s="7">
        <f t="shared" si="0"/>
        <v>6853</v>
      </c>
    </row>
    <row r="13" spans="1:6" x14ac:dyDescent="0.35">
      <c r="A13" s="6" t="s">
        <v>94</v>
      </c>
      <c r="B13" s="4">
        <v>7943</v>
      </c>
      <c r="C13" s="4">
        <v>1296</v>
      </c>
      <c r="D13" s="7">
        <f t="shared" si="0"/>
        <v>9239</v>
      </c>
    </row>
    <row r="14" spans="1:6" x14ac:dyDescent="0.35">
      <c r="A14" s="6" t="s">
        <v>113</v>
      </c>
      <c r="B14" s="4">
        <v>9485</v>
      </c>
      <c r="C14" s="4">
        <v>643</v>
      </c>
      <c r="D14" s="7">
        <f t="shared" si="0"/>
        <v>10128</v>
      </c>
    </row>
    <row r="15" spans="1:6" x14ac:dyDescent="0.35">
      <c r="A15" s="6" t="s">
        <v>129</v>
      </c>
      <c r="B15" s="4">
        <v>6051</v>
      </c>
      <c r="C15" s="4">
        <v>0</v>
      </c>
      <c r="D15" s="7">
        <f t="shared" si="0"/>
        <v>6051</v>
      </c>
    </row>
    <row r="16" spans="1:6" x14ac:dyDescent="0.35">
      <c r="A16" s="6" t="s">
        <v>142</v>
      </c>
      <c r="B16" s="4">
        <v>5413</v>
      </c>
      <c r="C16" s="4">
        <v>0</v>
      </c>
      <c r="D16" s="7">
        <f t="shared" si="0"/>
        <v>5413</v>
      </c>
    </row>
    <row r="17" spans="1:4" x14ac:dyDescent="0.35">
      <c r="A17" s="8" t="s">
        <v>233</v>
      </c>
      <c r="B17" s="9">
        <f>SUM(B5:B16)</f>
        <v>61877</v>
      </c>
      <c r="C17" s="9">
        <f>SUM(C5:C16)</f>
        <v>34107</v>
      </c>
      <c r="D17" s="9">
        <f>SUM(D5:D16)</f>
        <v>95984</v>
      </c>
    </row>
    <row r="19" spans="1:4" x14ac:dyDescent="0.35">
      <c r="A19" s="10" t="s">
        <v>234</v>
      </c>
    </row>
    <row r="20" spans="1:4" x14ac:dyDescent="0.35">
      <c r="A20" s="11" t="s">
        <v>235</v>
      </c>
    </row>
    <row r="21" spans="1:4" x14ac:dyDescent="0.35">
      <c r="A21" s="11" t="s">
        <v>236</v>
      </c>
    </row>
    <row r="22" spans="1:4" x14ac:dyDescent="0.35">
      <c r="A22" s="11" t="s">
        <v>237</v>
      </c>
    </row>
    <row r="23" spans="1:4" x14ac:dyDescent="0.35">
      <c r="A23" s="11" t="s">
        <v>238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4"/>
  <sheetViews>
    <sheetView workbookViewId="0"/>
  </sheetViews>
  <sheetFormatPr defaultRowHeight="14.5" x14ac:dyDescent="0.35"/>
  <cols>
    <col min="1" max="1" width="95" customWidth="1"/>
    <col min="2" max="2" width="18" customWidth="1"/>
    <col min="3" max="3" width="14" customWidth="1"/>
    <col min="4" max="4" width="18" customWidth="1"/>
    <col min="5" max="5" width="22" customWidth="1"/>
    <col min="6" max="6" width="14" customWidth="1"/>
  </cols>
  <sheetData>
    <row r="1" spans="1:6" ht="32" customHeight="1" x14ac:dyDescent="0.35">
      <c r="A1" s="27" t="s">
        <v>239</v>
      </c>
      <c r="B1" s="28"/>
      <c r="C1" s="28"/>
      <c r="D1" s="28"/>
      <c r="E1" s="28"/>
      <c r="F1" s="28"/>
    </row>
    <row r="3" spans="1:6" ht="17" x14ac:dyDescent="0.4">
      <c r="A3" s="5" t="s">
        <v>240</v>
      </c>
    </row>
    <row r="4" spans="1:6" x14ac:dyDescent="0.35">
      <c r="A4" s="1" t="s">
        <v>241</v>
      </c>
      <c r="B4" s="1" t="s">
        <v>242</v>
      </c>
      <c r="C4" s="1" t="s">
        <v>243</v>
      </c>
      <c r="D4" s="1" t="s">
        <v>232</v>
      </c>
      <c r="E4" s="1" t="s">
        <v>244</v>
      </c>
    </row>
    <row r="5" spans="1:6" x14ac:dyDescent="0.35">
      <c r="A5" s="12" t="s">
        <v>245</v>
      </c>
      <c r="B5" s="2" t="s">
        <v>246</v>
      </c>
      <c r="C5" s="2">
        <v>11</v>
      </c>
      <c r="D5" s="7">
        <v>10009</v>
      </c>
      <c r="E5" s="13">
        <f>D5/$D$9</f>
        <v>0.29345882076992991</v>
      </c>
    </row>
    <row r="6" spans="1:6" x14ac:dyDescent="0.35">
      <c r="A6" s="12" t="s">
        <v>247</v>
      </c>
      <c r="B6" s="2" t="s">
        <v>248</v>
      </c>
      <c r="C6" s="2">
        <v>14</v>
      </c>
      <c r="D6" s="7">
        <v>12712</v>
      </c>
      <c r="E6" s="13">
        <f>D6/$D$9</f>
        <v>0.37270941448969419</v>
      </c>
    </row>
    <row r="7" spans="1:6" x14ac:dyDescent="0.35">
      <c r="A7" s="12" t="s">
        <v>249</v>
      </c>
      <c r="B7" s="2" t="s">
        <v>250</v>
      </c>
      <c r="C7" s="2">
        <v>14</v>
      </c>
      <c r="D7" s="7">
        <v>10743</v>
      </c>
      <c r="E7" s="13">
        <f>D7/$D$9</f>
        <v>0.31497932975635501</v>
      </c>
    </row>
    <row r="8" spans="1:6" x14ac:dyDescent="0.35">
      <c r="A8" s="12" t="s">
        <v>251</v>
      </c>
      <c r="B8" s="2" t="s">
        <v>252</v>
      </c>
      <c r="C8" s="2">
        <v>1</v>
      </c>
      <c r="D8" s="7">
        <v>643</v>
      </c>
      <c r="E8" s="13">
        <f>D8/$D$9</f>
        <v>1.8852434984020876E-2</v>
      </c>
    </row>
    <row r="9" spans="1:6" x14ac:dyDescent="0.35">
      <c r="A9" s="8" t="s">
        <v>253</v>
      </c>
      <c r="B9" s="14" t="s">
        <v>254</v>
      </c>
      <c r="C9" s="14">
        <f>SUM(C5:C8)</f>
        <v>40</v>
      </c>
      <c r="D9" s="9">
        <f>SUM(D5:D8)</f>
        <v>34107</v>
      </c>
      <c r="E9" s="14" t="s">
        <v>255</v>
      </c>
    </row>
    <row r="11" spans="1:6" x14ac:dyDescent="0.35">
      <c r="A11" s="10" t="s">
        <v>256</v>
      </c>
    </row>
    <row r="12" spans="1:6" x14ac:dyDescent="0.35">
      <c r="A12" s="11" t="s">
        <v>257</v>
      </c>
    </row>
    <row r="13" spans="1:6" x14ac:dyDescent="0.35">
      <c r="A13" s="11" t="s">
        <v>258</v>
      </c>
    </row>
    <row r="14" spans="1:6" x14ac:dyDescent="0.35">
      <c r="A14" s="11" t="s">
        <v>259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3"/>
  <sheetViews>
    <sheetView workbookViewId="0"/>
  </sheetViews>
  <sheetFormatPr defaultRowHeight="14.5" x14ac:dyDescent="0.35"/>
  <cols>
    <col min="1" max="1" width="103" customWidth="1"/>
    <col min="2" max="2" width="15" customWidth="1"/>
    <col min="3" max="3" width="18" customWidth="1"/>
    <col min="4" max="4" width="28" customWidth="1"/>
    <col min="5" max="5" width="39" customWidth="1"/>
    <col min="6" max="6" width="14" customWidth="1"/>
  </cols>
  <sheetData>
    <row r="1" spans="1:6" ht="32" customHeight="1" x14ac:dyDescent="0.35">
      <c r="A1" s="27" t="s">
        <v>260</v>
      </c>
      <c r="B1" s="28"/>
      <c r="C1" s="28"/>
      <c r="D1" s="28"/>
      <c r="E1" s="28"/>
      <c r="F1" s="28"/>
    </row>
    <row r="3" spans="1:6" ht="17" x14ac:dyDescent="0.4">
      <c r="A3" s="5" t="s">
        <v>261</v>
      </c>
    </row>
    <row r="4" spans="1:6" x14ac:dyDescent="0.35">
      <c r="A4" s="1" t="s">
        <v>262</v>
      </c>
      <c r="B4" s="1" t="s">
        <v>263</v>
      </c>
      <c r="C4" s="1" t="s">
        <v>232</v>
      </c>
      <c r="D4" s="1" t="s">
        <v>264</v>
      </c>
      <c r="E4" s="1" t="s">
        <v>265</v>
      </c>
    </row>
    <row r="5" spans="1:6" x14ac:dyDescent="0.35">
      <c r="A5" s="6" t="s">
        <v>11</v>
      </c>
      <c r="B5" s="2">
        <v>4</v>
      </c>
      <c r="C5" s="4">
        <v>4398</v>
      </c>
      <c r="D5" s="15">
        <f t="shared" ref="D5:D16" si="0">IF(B5&gt;0, C5/B5, 0)</f>
        <v>1099.5</v>
      </c>
      <c r="E5" s="16">
        <f t="shared" ref="E5:E17" si="1">C5*0.18</f>
        <v>791.64</v>
      </c>
    </row>
    <row r="6" spans="1:6" x14ac:dyDescent="0.35">
      <c r="A6" s="6" t="s">
        <v>19</v>
      </c>
      <c r="B6" s="2">
        <v>0</v>
      </c>
      <c r="C6" s="4">
        <v>0</v>
      </c>
      <c r="D6" s="15">
        <f t="shared" si="0"/>
        <v>0</v>
      </c>
      <c r="E6" s="16">
        <f t="shared" si="1"/>
        <v>0</v>
      </c>
    </row>
    <row r="7" spans="1:6" x14ac:dyDescent="0.35">
      <c r="A7" s="6" t="s">
        <v>33</v>
      </c>
      <c r="B7" s="2">
        <v>7</v>
      </c>
      <c r="C7" s="4">
        <v>5611</v>
      </c>
      <c r="D7" s="15">
        <f t="shared" si="0"/>
        <v>801.57142857142856</v>
      </c>
      <c r="E7" s="16">
        <f t="shared" si="1"/>
        <v>1009.98</v>
      </c>
    </row>
    <row r="8" spans="1:6" x14ac:dyDescent="0.35">
      <c r="A8" s="6" t="s">
        <v>50</v>
      </c>
      <c r="B8" s="2">
        <v>4</v>
      </c>
      <c r="C8" s="4">
        <v>3685</v>
      </c>
      <c r="D8" s="15">
        <f t="shared" si="0"/>
        <v>921.25</v>
      </c>
      <c r="E8" s="16">
        <f t="shared" si="1"/>
        <v>663.3</v>
      </c>
    </row>
    <row r="9" spans="1:6" x14ac:dyDescent="0.35">
      <c r="A9" s="6" t="s">
        <v>62</v>
      </c>
      <c r="B9" s="2">
        <v>4</v>
      </c>
      <c r="C9" s="4">
        <v>3824</v>
      </c>
      <c r="D9" s="15">
        <f t="shared" si="0"/>
        <v>956</v>
      </c>
      <c r="E9" s="16">
        <f t="shared" si="1"/>
        <v>688.31999999999994</v>
      </c>
    </row>
    <row r="10" spans="1:6" x14ac:dyDescent="0.35">
      <c r="A10" s="6" t="s">
        <v>67</v>
      </c>
      <c r="B10" s="2">
        <v>6</v>
      </c>
      <c r="C10" s="4">
        <v>5203</v>
      </c>
      <c r="D10" s="15">
        <f t="shared" si="0"/>
        <v>867.16666666666663</v>
      </c>
      <c r="E10" s="16">
        <f t="shared" si="1"/>
        <v>936.54</v>
      </c>
    </row>
    <row r="11" spans="1:6" x14ac:dyDescent="0.35">
      <c r="A11" s="6" t="s">
        <v>199</v>
      </c>
      <c r="B11" s="2">
        <v>10</v>
      </c>
      <c r="C11" s="4">
        <v>8650</v>
      </c>
      <c r="D11" s="15">
        <f t="shared" si="0"/>
        <v>865</v>
      </c>
      <c r="E11" s="16">
        <f t="shared" si="1"/>
        <v>1557</v>
      </c>
    </row>
    <row r="12" spans="1:6" x14ac:dyDescent="0.35">
      <c r="A12" s="6" t="s">
        <v>81</v>
      </c>
      <c r="B12" s="2">
        <v>2</v>
      </c>
      <c r="C12" s="4">
        <v>797</v>
      </c>
      <c r="D12" s="15">
        <f t="shared" si="0"/>
        <v>398.5</v>
      </c>
      <c r="E12" s="16">
        <f t="shared" si="1"/>
        <v>143.46</v>
      </c>
    </row>
    <row r="13" spans="1:6" x14ac:dyDescent="0.35">
      <c r="A13" s="6" t="s">
        <v>94</v>
      </c>
      <c r="B13" s="2">
        <v>2</v>
      </c>
      <c r="C13" s="4">
        <v>1296</v>
      </c>
      <c r="D13" s="15">
        <f t="shared" si="0"/>
        <v>648</v>
      </c>
      <c r="E13" s="16">
        <f t="shared" si="1"/>
        <v>233.28</v>
      </c>
    </row>
    <row r="14" spans="1:6" x14ac:dyDescent="0.35">
      <c r="A14" s="6" t="s">
        <v>113</v>
      </c>
      <c r="B14" s="2">
        <v>1</v>
      </c>
      <c r="C14" s="4">
        <v>643</v>
      </c>
      <c r="D14" s="15">
        <f t="shared" si="0"/>
        <v>643</v>
      </c>
      <c r="E14" s="16">
        <f t="shared" si="1"/>
        <v>115.74</v>
      </c>
    </row>
    <row r="15" spans="1:6" x14ac:dyDescent="0.35">
      <c r="A15" s="6" t="s">
        <v>129</v>
      </c>
      <c r="B15" s="2">
        <v>0</v>
      </c>
      <c r="C15" s="4">
        <v>0</v>
      </c>
      <c r="D15" s="15">
        <f t="shared" si="0"/>
        <v>0</v>
      </c>
      <c r="E15" s="16">
        <f t="shared" si="1"/>
        <v>0</v>
      </c>
    </row>
    <row r="16" spans="1:6" x14ac:dyDescent="0.35">
      <c r="A16" s="6" t="s">
        <v>142</v>
      </c>
      <c r="B16" s="2">
        <v>0</v>
      </c>
      <c r="C16" s="4">
        <v>0</v>
      </c>
      <c r="D16" s="15">
        <f t="shared" si="0"/>
        <v>0</v>
      </c>
      <c r="E16" s="16">
        <f t="shared" si="1"/>
        <v>0</v>
      </c>
    </row>
    <row r="17" spans="1:5" x14ac:dyDescent="0.35">
      <c r="A17" s="8" t="s">
        <v>266</v>
      </c>
      <c r="B17" s="14">
        <f>SUM(B5:B16)</f>
        <v>40</v>
      </c>
      <c r="C17" s="9">
        <f>SUM(C5:C16)</f>
        <v>34107</v>
      </c>
      <c r="D17" s="17">
        <f>C17/B17</f>
        <v>852.67499999999995</v>
      </c>
      <c r="E17" s="9">
        <f t="shared" si="1"/>
        <v>6139.26</v>
      </c>
    </row>
    <row r="19" spans="1:5" x14ac:dyDescent="0.35">
      <c r="A19" s="10" t="s">
        <v>267</v>
      </c>
    </row>
    <row r="20" spans="1:5" x14ac:dyDescent="0.35">
      <c r="A20" s="11" t="s">
        <v>268</v>
      </c>
    </row>
    <row r="21" spans="1:5" x14ac:dyDescent="0.35">
      <c r="A21" s="11" t="s">
        <v>269</v>
      </c>
    </row>
    <row r="22" spans="1:5" x14ac:dyDescent="0.35">
      <c r="A22" s="11" t="s">
        <v>270</v>
      </c>
    </row>
    <row r="23" spans="1:5" x14ac:dyDescent="0.35">
      <c r="A23" s="11" t="s">
        <v>271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4"/>
  <sheetViews>
    <sheetView workbookViewId="0"/>
  </sheetViews>
  <sheetFormatPr defaultRowHeight="14.5" x14ac:dyDescent="0.35"/>
  <cols>
    <col min="1" max="1" width="79" customWidth="1"/>
    <col min="2" max="2" width="16" customWidth="1"/>
    <col min="3" max="3" width="18" customWidth="1"/>
    <col min="4" max="4" width="17" customWidth="1"/>
    <col min="5" max="5" width="16" customWidth="1"/>
    <col min="6" max="7" width="14" customWidth="1"/>
  </cols>
  <sheetData>
    <row r="1" spans="1:7" ht="32" customHeight="1" x14ac:dyDescent="0.35">
      <c r="A1" s="27" t="s">
        <v>272</v>
      </c>
      <c r="B1" s="28"/>
      <c r="C1" s="28"/>
      <c r="D1" s="28"/>
      <c r="E1" s="28"/>
      <c r="F1" s="28"/>
      <c r="G1" s="28"/>
    </row>
    <row r="3" spans="1:7" x14ac:dyDescent="0.35">
      <c r="A3" s="18" t="s">
        <v>273</v>
      </c>
    </row>
    <row r="4" spans="1:7" x14ac:dyDescent="0.35">
      <c r="A4" s="19" t="s">
        <v>274</v>
      </c>
      <c r="B4" s="20" t="s">
        <v>16</v>
      </c>
      <c r="C4" s="20" t="s">
        <v>13</v>
      </c>
      <c r="D4" s="20" t="s">
        <v>38</v>
      </c>
      <c r="E4" s="20" t="s">
        <v>25</v>
      </c>
      <c r="F4" s="20" t="s">
        <v>47</v>
      </c>
    </row>
    <row r="6" spans="1:7" x14ac:dyDescent="0.35">
      <c r="A6" s="18" t="s">
        <v>275</v>
      </c>
    </row>
    <row r="7" spans="1:7" x14ac:dyDescent="0.35">
      <c r="A7" s="20" t="s">
        <v>34</v>
      </c>
      <c r="B7" s="20" t="s">
        <v>12</v>
      </c>
      <c r="C7" s="20" t="s">
        <v>70</v>
      </c>
      <c r="D7" s="20" t="s">
        <v>28</v>
      </c>
      <c r="E7" s="20" t="s">
        <v>20</v>
      </c>
      <c r="F7" s="20" t="s">
        <v>59</v>
      </c>
    </row>
    <row r="9" spans="1:7" ht="17" x14ac:dyDescent="0.4">
      <c r="A9" s="5" t="s">
        <v>276</v>
      </c>
    </row>
    <row r="10" spans="1:7" x14ac:dyDescent="0.35">
      <c r="A10" s="1" t="s">
        <v>277</v>
      </c>
      <c r="B10" s="1" t="s">
        <v>278</v>
      </c>
      <c r="C10" s="1" t="s">
        <v>232</v>
      </c>
      <c r="D10" s="1" t="s">
        <v>279</v>
      </c>
      <c r="E10" s="1" t="s">
        <v>280</v>
      </c>
    </row>
    <row r="11" spans="1:7" x14ac:dyDescent="0.35">
      <c r="A11" s="6" t="s">
        <v>12</v>
      </c>
      <c r="B11" s="2">
        <v>3</v>
      </c>
      <c r="C11" s="7">
        <v>1534</v>
      </c>
      <c r="D11" s="2" t="s">
        <v>281</v>
      </c>
      <c r="E11" s="2" t="s">
        <v>21</v>
      </c>
    </row>
    <row r="12" spans="1:7" x14ac:dyDescent="0.35">
      <c r="A12" s="6" t="s">
        <v>20</v>
      </c>
      <c r="B12" s="2">
        <v>10</v>
      </c>
      <c r="C12" s="7">
        <v>9664</v>
      </c>
      <c r="D12" s="2" t="s">
        <v>281</v>
      </c>
      <c r="E12" s="2" t="s">
        <v>21</v>
      </c>
    </row>
    <row r="13" spans="1:7" x14ac:dyDescent="0.35">
      <c r="A13" s="6" t="s">
        <v>34</v>
      </c>
      <c r="B13" s="2">
        <v>16</v>
      </c>
      <c r="C13" s="7">
        <v>15450</v>
      </c>
      <c r="D13" s="2" t="s">
        <v>281</v>
      </c>
      <c r="E13" s="2" t="s">
        <v>21</v>
      </c>
    </row>
    <row r="14" spans="1:7" x14ac:dyDescent="0.35">
      <c r="A14" s="6" t="s">
        <v>28</v>
      </c>
      <c r="B14" s="2">
        <v>4</v>
      </c>
      <c r="C14" s="7">
        <v>3841</v>
      </c>
      <c r="D14" s="2" t="s">
        <v>281</v>
      </c>
      <c r="E14" s="2" t="s">
        <v>21</v>
      </c>
    </row>
    <row r="15" spans="1:7" x14ac:dyDescent="0.35">
      <c r="A15" s="6" t="s">
        <v>37</v>
      </c>
      <c r="B15" s="2">
        <v>1</v>
      </c>
      <c r="C15" s="7">
        <v>850</v>
      </c>
      <c r="D15" s="2" t="s">
        <v>281</v>
      </c>
      <c r="E15" s="2" t="s">
        <v>21</v>
      </c>
    </row>
    <row r="16" spans="1:7" x14ac:dyDescent="0.35">
      <c r="A16" s="6" t="s">
        <v>24</v>
      </c>
      <c r="B16" s="2">
        <v>1</v>
      </c>
      <c r="C16" s="7">
        <v>474</v>
      </c>
      <c r="D16" s="2" t="s">
        <v>281</v>
      </c>
      <c r="E16" s="2" t="s">
        <v>21</v>
      </c>
    </row>
    <row r="17" spans="1:5" x14ac:dyDescent="0.35">
      <c r="A17" s="6" t="s">
        <v>59</v>
      </c>
      <c r="B17" s="2">
        <v>3</v>
      </c>
      <c r="C17" s="7">
        <v>3451</v>
      </c>
      <c r="D17" s="2" t="s">
        <v>281</v>
      </c>
      <c r="E17" s="2" t="s">
        <v>21</v>
      </c>
    </row>
    <row r="18" spans="1:5" x14ac:dyDescent="0.35">
      <c r="A18" s="8" t="s">
        <v>282</v>
      </c>
      <c r="B18" s="14">
        <f>SUM(B11:B17)</f>
        <v>38</v>
      </c>
      <c r="C18" s="9">
        <f>SUM(C11:C17)</f>
        <v>35264</v>
      </c>
      <c r="D18" s="21" t="s">
        <v>283</v>
      </c>
      <c r="E18" s="14" t="s">
        <v>21</v>
      </c>
    </row>
    <row r="20" spans="1:5" x14ac:dyDescent="0.35">
      <c r="A20" s="10" t="s">
        <v>284</v>
      </c>
    </row>
    <row r="21" spans="1:5" x14ac:dyDescent="0.35">
      <c r="A21" s="11" t="s">
        <v>285</v>
      </c>
    </row>
    <row r="22" spans="1:5" x14ac:dyDescent="0.35">
      <c r="A22" s="11" t="s">
        <v>286</v>
      </c>
    </row>
    <row r="23" spans="1:5" x14ac:dyDescent="0.35">
      <c r="A23" s="11" t="s">
        <v>287</v>
      </c>
    </row>
    <row r="24" spans="1:5" x14ac:dyDescent="0.35">
      <c r="A24" s="11" t="s">
        <v>288</v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4"/>
  <sheetViews>
    <sheetView workbookViewId="0"/>
  </sheetViews>
  <sheetFormatPr defaultRowHeight="14.5" x14ac:dyDescent="0.35"/>
  <cols>
    <col min="1" max="1" width="146" customWidth="1"/>
    <col min="2" max="3" width="14" customWidth="1"/>
    <col min="4" max="4" width="20" customWidth="1"/>
    <col min="5" max="6" width="14" customWidth="1"/>
    <col min="7" max="7" width="19" customWidth="1"/>
  </cols>
  <sheetData>
    <row r="1" spans="1:7" ht="32" customHeight="1" x14ac:dyDescent="0.35">
      <c r="A1" s="27" t="s">
        <v>289</v>
      </c>
      <c r="B1" s="28"/>
      <c r="C1" s="28"/>
      <c r="D1" s="28"/>
      <c r="E1" s="28"/>
      <c r="F1" s="28"/>
      <c r="G1" s="28"/>
    </row>
    <row r="3" spans="1:7" ht="15.5" x14ac:dyDescent="0.35">
      <c r="A3" s="22" t="s">
        <v>290</v>
      </c>
    </row>
    <row r="4" spans="1:7" x14ac:dyDescent="0.35">
      <c r="A4" s="23" t="s">
        <v>291</v>
      </c>
    </row>
    <row r="5" spans="1:7" x14ac:dyDescent="0.35">
      <c r="A5" s="24" t="s">
        <v>292</v>
      </c>
    </row>
    <row r="6" spans="1:7" x14ac:dyDescent="0.35">
      <c r="A6" s="24" t="s">
        <v>293</v>
      </c>
    </row>
    <row r="7" spans="1:7" x14ac:dyDescent="0.35">
      <c r="A7" s="24" t="s">
        <v>294</v>
      </c>
    </row>
    <row r="9" spans="1:7" x14ac:dyDescent="0.35">
      <c r="A9" s="25" t="s">
        <v>1</v>
      </c>
      <c r="B9" s="25" t="s">
        <v>2</v>
      </c>
      <c r="C9" s="25" t="s">
        <v>4</v>
      </c>
      <c r="D9" s="25" t="s">
        <v>5</v>
      </c>
      <c r="E9" s="25" t="s">
        <v>6</v>
      </c>
      <c r="F9" s="25" t="s">
        <v>295</v>
      </c>
      <c r="G9" s="25" t="s">
        <v>296</v>
      </c>
    </row>
    <row r="10" spans="1:7" x14ac:dyDescent="0.35">
      <c r="A10" s="2" t="s">
        <v>197</v>
      </c>
      <c r="B10" s="2" t="s">
        <v>198</v>
      </c>
      <c r="C10" s="2" t="s">
        <v>199</v>
      </c>
      <c r="D10" s="3" t="s">
        <v>24</v>
      </c>
      <c r="E10" s="2" t="s">
        <v>16</v>
      </c>
      <c r="F10" s="2">
        <v>4</v>
      </c>
      <c r="G10" s="4">
        <v>625</v>
      </c>
    </row>
    <row r="11" spans="1:7" x14ac:dyDescent="0.35">
      <c r="A11" s="2" t="s">
        <v>200</v>
      </c>
      <c r="B11" s="2" t="s">
        <v>201</v>
      </c>
      <c r="C11" s="2" t="s">
        <v>199</v>
      </c>
      <c r="D11" s="3" t="s">
        <v>70</v>
      </c>
      <c r="E11" s="2" t="s">
        <v>47</v>
      </c>
      <c r="F11" s="2">
        <v>5</v>
      </c>
      <c r="G11" s="4">
        <v>1430</v>
      </c>
    </row>
    <row r="12" spans="1:7" x14ac:dyDescent="0.35">
      <c r="A12" s="2" t="s">
        <v>202</v>
      </c>
      <c r="B12" s="2" t="s">
        <v>203</v>
      </c>
      <c r="C12" s="2" t="s">
        <v>199</v>
      </c>
      <c r="D12" s="3" t="s">
        <v>12</v>
      </c>
      <c r="E12" s="2" t="s">
        <v>25</v>
      </c>
      <c r="F12" s="2">
        <v>4</v>
      </c>
      <c r="G12" s="4">
        <v>315</v>
      </c>
    </row>
    <row r="13" spans="1:7" x14ac:dyDescent="0.35">
      <c r="A13" s="2" t="s">
        <v>204</v>
      </c>
      <c r="B13" s="2" t="s">
        <v>203</v>
      </c>
      <c r="C13" s="2" t="s">
        <v>199</v>
      </c>
      <c r="D13" s="3" t="s">
        <v>37</v>
      </c>
      <c r="E13" s="2" t="s">
        <v>16</v>
      </c>
      <c r="F13" s="2">
        <v>4</v>
      </c>
      <c r="G13" s="4">
        <v>1456</v>
      </c>
    </row>
    <row r="14" spans="1:7" x14ac:dyDescent="0.35">
      <c r="A14" s="2" t="s">
        <v>205</v>
      </c>
      <c r="B14" s="2" t="s">
        <v>206</v>
      </c>
      <c r="C14" s="2" t="s">
        <v>199</v>
      </c>
      <c r="D14" s="3" t="s">
        <v>12</v>
      </c>
      <c r="E14" s="2" t="s">
        <v>21</v>
      </c>
      <c r="F14" s="2">
        <v>5</v>
      </c>
      <c r="G14" s="4">
        <v>280</v>
      </c>
    </row>
    <row r="15" spans="1:7" x14ac:dyDescent="0.35">
      <c r="A15" s="2" t="s">
        <v>207</v>
      </c>
      <c r="B15" s="2" t="s">
        <v>208</v>
      </c>
      <c r="C15" s="2" t="s">
        <v>199</v>
      </c>
      <c r="D15" s="3" t="s">
        <v>70</v>
      </c>
      <c r="E15" s="2" t="s">
        <v>38</v>
      </c>
      <c r="F15" s="2">
        <v>2</v>
      </c>
      <c r="G15" s="4">
        <v>335</v>
      </c>
    </row>
    <row r="16" spans="1:7" x14ac:dyDescent="0.35">
      <c r="A16" s="2" t="s">
        <v>209</v>
      </c>
      <c r="B16" s="2" t="s">
        <v>210</v>
      </c>
      <c r="C16" s="2" t="s">
        <v>199</v>
      </c>
      <c r="D16" s="3" t="s">
        <v>59</v>
      </c>
      <c r="E16" s="2" t="s">
        <v>47</v>
      </c>
      <c r="F16" s="2">
        <v>1</v>
      </c>
      <c r="G16" s="4">
        <v>525</v>
      </c>
    </row>
    <row r="17" spans="1:7" x14ac:dyDescent="0.35">
      <c r="A17" s="2" t="s">
        <v>211</v>
      </c>
      <c r="B17" s="2" t="s">
        <v>212</v>
      </c>
      <c r="C17" s="2" t="s">
        <v>199</v>
      </c>
      <c r="D17" s="3" t="s">
        <v>28</v>
      </c>
      <c r="E17" s="2" t="s">
        <v>47</v>
      </c>
      <c r="F17" s="2">
        <v>3</v>
      </c>
      <c r="G17" s="4">
        <v>1823</v>
      </c>
    </row>
    <row r="18" spans="1:7" x14ac:dyDescent="0.35">
      <c r="A18" s="2" t="s">
        <v>213</v>
      </c>
      <c r="B18" s="2" t="s">
        <v>214</v>
      </c>
      <c r="C18" s="2" t="s">
        <v>199</v>
      </c>
      <c r="D18" s="3" t="s">
        <v>37</v>
      </c>
      <c r="E18" s="2" t="s">
        <v>25</v>
      </c>
      <c r="F18" s="2">
        <v>2</v>
      </c>
      <c r="G18" s="4">
        <v>734</v>
      </c>
    </row>
    <row r="19" spans="1:7" x14ac:dyDescent="0.35">
      <c r="A19" s="2" t="s">
        <v>215</v>
      </c>
      <c r="B19" s="2" t="s">
        <v>216</v>
      </c>
      <c r="C19" s="2" t="s">
        <v>199</v>
      </c>
      <c r="D19" s="3" t="s">
        <v>59</v>
      </c>
      <c r="E19" s="2" t="s">
        <v>47</v>
      </c>
      <c r="F19" s="2">
        <v>5</v>
      </c>
      <c r="G19" s="4">
        <v>1127</v>
      </c>
    </row>
    <row r="20" spans="1:7" x14ac:dyDescent="0.35">
      <c r="A20" s="2" t="s">
        <v>217</v>
      </c>
      <c r="B20" s="2" t="s">
        <v>218</v>
      </c>
      <c r="C20" s="2" t="s">
        <v>81</v>
      </c>
      <c r="D20" s="3" t="s">
        <v>37</v>
      </c>
      <c r="E20" s="2" t="s">
        <v>13</v>
      </c>
      <c r="F20" s="2">
        <v>2</v>
      </c>
      <c r="G20" s="4">
        <v>533</v>
      </c>
    </row>
    <row r="21" spans="1:7" x14ac:dyDescent="0.35">
      <c r="A21" s="2" t="s">
        <v>219</v>
      </c>
      <c r="B21" s="2" t="s">
        <v>220</v>
      </c>
      <c r="C21" s="2" t="s">
        <v>81</v>
      </c>
      <c r="D21" s="3" t="s">
        <v>28</v>
      </c>
      <c r="E21" s="2" t="s">
        <v>25</v>
      </c>
      <c r="F21" s="2">
        <v>2</v>
      </c>
      <c r="G21" s="4">
        <v>264</v>
      </c>
    </row>
    <row r="22" spans="1:7" x14ac:dyDescent="0.35">
      <c r="A22" s="2" t="s">
        <v>221</v>
      </c>
      <c r="B22" s="2" t="s">
        <v>222</v>
      </c>
      <c r="C22" s="2" t="s">
        <v>94</v>
      </c>
      <c r="D22" s="3" t="s">
        <v>34</v>
      </c>
      <c r="E22" s="2" t="s">
        <v>21</v>
      </c>
      <c r="F22" s="2">
        <v>5</v>
      </c>
      <c r="G22" s="4">
        <v>657</v>
      </c>
    </row>
    <row r="23" spans="1:7" x14ac:dyDescent="0.35">
      <c r="A23" s="2" t="s">
        <v>223</v>
      </c>
      <c r="B23" s="2" t="s">
        <v>224</v>
      </c>
      <c r="C23" s="2" t="s">
        <v>94</v>
      </c>
      <c r="D23" s="3" t="s">
        <v>12</v>
      </c>
      <c r="E23" s="2" t="s">
        <v>38</v>
      </c>
      <c r="F23" s="2">
        <v>5</v>
      </c>
      <c r="G23" s="4">
        <v>639</v>
      </c>
    </row>
    <row r="24" spans="1:7" x14ac:dyDescent="0.35">
      <c r="A24" s="8" t="s">
        <v>297</v>
      </c>
      <c r="B24" s="26"/>
      <c r="C24" s="26"/>
      <c r="D24" s="26"/>
      <c r="E24" s="26"/>
      <c r="F24" s="26"/>
      <c r="G24" s="9">
        <f>SUM(G10:G23)</f>
        <v>10743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 Orders Dataset</vt:lpstr>
      <vt:lpstr>Task 1 - Month &amp; Year</vt:lpstr>
      <vt:lpstr>Task 2 - Group by Quarter</vt:lpstr>
      <vt:lpstr>Task 3 - Calculated Field</vt:lpstr>
      <vt:lpstr>Task 4 - Slicer Filter</vt:lpstr>
      <vt:lpstr>Task 5 - Drill Down (Q3 Orders)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 barot</cp:lastModifiedBy>
  <dcterms:created xsi:type="dcterms:W3CDTF">2026-10-01T07:05:50Z</dcterms:created>
  <dcterms:modified xsi:type="dcterms:W3CDTF">2026-10-01T07:08:43Z</dcterms:modified>
</cp:coreProperties>
</file>