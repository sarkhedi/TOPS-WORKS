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3f283b6372641a8/Documents/SESSION 8/"/>
    </mc:Choice>
  </mc:AlternateContent>
  <xr:revisionPtr revIDLastSave="9" documentId="11_FFE7A787D765AEFF664E4C365E5DCE3A374BC90A" xr6:coauthVersionLast="47" xr6:coauthVersionMax="47" xr10:uidLastSave="{F2A34625-6139-4B44-9FC0-870FCB324DFA}"/>
  <bookViews>
    <workbookView xWindow="-110" yWindow="-110" windowWidth="19420" windowHeight="11020" xr2:uid="{00000000-000D-0000-FFFF-FFFF00000000}"/>
  </bookViews>
  <sheets>
    <sheet name="SESSION 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" l="1"/>
  <c r="D39" i="1"/>
  <c r="D40" i="1"/>
  <c r="D41" i="1"/>
  <c r="E41" i="1"/>
  <c r="E40" i="1"/>
  <c r="E39" i="1"/>
  <c r="E38" i="1"/>
  <c r="E37" i="1"/>
  <c r="D37" i="1"/>
  <c r="F33" i="1"/>
  <c r="E33" i="1"/>
  <c r="F32" i="1"/>
  <c r="E32" i="1"/>
  <c r="F31" i="1"/>
  <c r="E31" i="1"/>
  <c r="F30" i="1"/>
  <c r="E30" i="1"/>
  <c r="F29" i="1"/>
  <c r="E29" i="1"/>
  <c r="E25" i="1"/>
  <c r="D25" i="1"/>
  <c r="E24" i="1"/>
  <c r="D24" i="1"/>
  <c r="E23" i="1"/>
  <c r="D23" i="1"/>
  <c r="E22" i="1"/>
  <c r="D22" i="1"/>
  <c r="E21" i="1"/>
  <c r="D21" i="1"/>
  <c r="D17" i="1"/>
  <c r="C17" i="1"/>
  <c r="D16" i="1"/>
  <c r="C16" i="1"/>
  <c r="D15" i="1"/>
  <c r="C15" i="1"/>
  <c r="D14" i="1"/>
  <c r="C14" i="1"/>
  <c r="D13" i="1"/>
  <c r="C13" i="1"/>
  <c r="D9" i="1"/>
  <c r="C9" i="1"/>
  <c r="D8" i="1"/>
  <c r="C8" i="1"/>
  <c r="D7" i="1"/>
  <c r="C7" i="1"/>
  <c r="D6" i="1"/>
  <c r="C6" i="1"/>
  <c r="D5" i="1"/>
  <c r="C5" i="1"/>
</calcChain>
</file>

<file path=xl/sharedStrings.xml><?xml version="1.0" encoding="utf-8"?>
<sst xmlns="http://schemas.openxmlformats.org/spreadsheetml/2006/main" count="90" uniqueCount="65">
  <si>
    <t>SESSION 8 – Logical Functions (IF, Nested IF, AND, OR, XOR)</t>
  </si>
  <si>
    <t>Task 1: IF Function (Label Orders as "High Value" if Amount &gt;= ₹500, else "Regular")</t>
  </si>
  <si>
    <t>Order ID</t>
  </si>
  <si>
    <t>Total Amount (₹)</t>
  </si>
  <si>
    <t>Order Category (Formula)</t>
  </si>
  <si>
    <t>Formula Applied</t>
  </si>
  <si>
    <t>ZOM-101</t>
  </si>
  <si>
    <t>ZOM-102</t>
  </si>
  <si>
    <t>ZOM-103</t>
  </si>
  <si>
    <t>ZOM-104</t>
  </si>
  <si>
    <t>ZOM-105</t>
  </si>
  <si>
    <t>Task 2: Nested IF Function (Assign Cricket Player Ratings based on Runs)</t>
  </si>
  <si>
    <t>Player Name</t>
  </si>
  <si>
    <t>Total Runs</t>
  </si>
  <si>
    <t>Player Rating (Formula)</t>
  </si>
  <si>
    <t>Virat Kohli</t>
  </si>
  <si>
    <t>Rohit Sharma</t>
  </si>
  <si>
    <t>Shubman Gill</t>
  </si>
  <si>
    <t>Rinku Singh</t>
  </si>
  <si>
    <t>KL Rahul</t>
  </si>
  <si>
    <t>Task 3: IF with AND Function (Prepaid AND Delivered -&gt; "Eligible")</t>
  </si>
  <si>
    <t>Flipkart Order ID</t>
  </si>
  <si>
    <t>Payment Method</t>
  </si>
  <si>
    <t>Order Status</t>
  </si>
  <si>
    <t>Eligibility Status (Formula)</t>
  </si>
  <si>
    <t>FK-901</t>
  </si>
  <si>
    <t>Prepaid</t>
  </si>
  <si>
    <t>Delivered</t>
  </si>
  <si>
    <t>FK-902</t>
  </si>
  <si>
    <t>COD</t>
  </si>
  <si>
    <t>FK-903</t>
  </si>
  <si>
    <t>In Transit</t>
  </si>
  <si>
    <t>FK-904</t>
  </si>
  <si>
    <t>FK-905</t>
  </si>
  <si>
    <t>Cancelled</t>
  </si>
  <si>
    <t>Task 4: IF with OR Function (isDownloaded OR isFavorite -&gt; "Quick Access")</t>
  </si>
  <si>
    <t>Song Name</t>
  </si>
  <si>
    <t>Artist</t>
  </si>
  <si>
    <t>isDownloaded</t>
  </si>
  <si>
    <t>isFavorite</t>
  </si>
  <si>
    <t>Access Type (Formula)</t>
  </si>
  <si>
    <t>Shape of You</t>
  </si>
  <si>
    <t>Ed Sheeran</t>
  </si>
  <si>
    <t>Yes</t>
  </si>
  <si>
    <t>No</t>
  </si>
  <si>
    <t>Starboy</t>
  </si>
  <si>
    <t>The Weeknd</t>
  </si>
  <si>
    <t>Believer</t>
  </si>
  <si>
    <t>Imagine Dragons</t>
  </si>
  <si>
    <t>Kesariya</t>
  </si>
  <si>
    <t>Arijit Singh</t>
  </si>
  <si>
    <t>Bad Guy</t>
  </si>
  <si>
    <t>Billie Eilish</t>
  </si>
  <si>
    <t>Task 5: IF with XOR Function (Flag "Suspicious" if EXACTLY ONE is True)</t>
  </si>
  <si>
    <t>Zomato Order ID</t>
  </si>
  <si>
    <t>Is New Address?</t>
  </si>
  <si>
    <t>Fraud Flag (Formula)</t>
  </si>
  <si>
    <t>ZOM-501</t>
  </si>
  <si>
    <t>Cash</t>
  </si>
  <si>
    <t>ZOM-502</t>
  </si>
  <si>
    <t>Online</t>
  </si>
  <si>
    <t>ZOM-503</t>
  </si>
  <si>
    <t>ZOM-504</t>
  </si>
  <si>
    <t>ZOM-505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</si>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</sst>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003366"/>
      <name val="Calibri"/>
      <family val="2"/>
    </font>
    <font>
      <i/>
      <sz val="10"/>
      <color rgb="FF59595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theme="7" tint="-0.499984740745262"/>
        <bgColor rgb="FF1F4E78"/>
      </patternFill>
    </fill>
    <fill>
      <patternFill patternType="solid">
        <fgColor theme="6" tint="-0.499984740745262"/>
        <bgColor rgb="FF1F4E78"/>
      </patternFill>
    </fill>
    <fill>
      <patternFill patternType="solid">
        <fgColor theme="9" tint="-0.499984740745262"/>
        <bgColor rgb="FF1F4E78"/>
      </patternFill>
    </fill>
    <fill>
      <patternFill patternType="solid">
        <fgColor theme="1" tint="4.9989318521683403E-2"/>
        <bgColor rgb="FF1F4E78"/>
      </patternFill>
    </fill>
    <fill>
      <patternFill patternType="solid">
        <fgColor theme="0" tint="-0.499984740745262"/>
        <bgColor rgb="FF1F4E78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0" borderId="1" xfId="0" applyFont="1" applyBorder="1"/>
    <xf numFmtId="0" fontId="4" fillId="0" borderId="1" xfId="0" applyFont="1" applyBorder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E6" sqref="E6"/>
    </sheetView>
  </sheetViews>
  <sheetFormatPr defaultRowHeight="14.5" x14ac:dyDescent="0.35"/>
  <cols>
    <col min="1" max="3" width="24" customWidth="1"/>
    <col min="4" max="4" width="30" customWidth="1"/>
    <col min="5" max="6" width="45" customWidth="1"/>
  </cols>
  <sheetData>
    <row r="1" spans="1:5" ht="32" customHeight="1" x14ac:dyDescent="0.35">
      <c r="A1" s="12" t="s">
        <v>0</v>
      </c>
      <c r="B1" s="13"/>
      <c r="C1" s="13"/>
      <c r="D1" s="13"/>
      <c r="E1" s="13"/>
    </row>
    <row r="3" spans="1:5" ht="17" x14ac:dyDescent="0.4">
      <c r="A3" s="1" t="s">
        <v>1</v>
      </c>
    </row>
    <row r="4" spans="1:5" x14ac:dyDescent="0.35">
      <c r="A4" s="2" t="s">
        <v>2</v>
      </c>
      <c r="B4" s="2" t="s">
        <v>3</v>
      </c>
      <c r="C4" s="2" t="s">
        <v>4</v>
      </c>
      <c r="D4" s="2" t="s">
        <v>5</v>
      </c>
    </row>
    <row r="5" spans="1:5" x14ac:dyDescent="0.35">
      <c r="A5" s="3" t="s">
        <v>6</v>
      </c>
      <c r="B5" s="4">
        <v>650</v>
      </c>
      <c r="C5" s="5" t="str">
        <f>IF(B5&gt;=500, "High Value", "Regular")</f>
        <v>High Value</v>
      </c>
      <c r="D5" s="6" t="str">
        <f>IF(B5&gt;=500, "High Value", "Regular")</f>
        <v>High Value</v>
      </c>
    </row>
    <row r="6" spans="1:5" x14ac:dyDescent="0.35">
      <c r="A6" s="3" t="s">
        <v>7</v>
      </c>
      <c r="B6" s="4">
        <v>320</v>
      </c>
      <c r="C6" s="5" t="str">
        <f>IF(B6&gt;=500, "High Value", "Regular")</f>
        <v>Regular</v>
      </c>
      <c r="D6" s="6" t="str">
        <f>IF(B6&gt;=500, "High Value", "Regular")</f>
        <v>Regular</v>
      </c>
    </row>
    <row r="7" spans="1:5" x14ac:dyDescent="0.35">
      <c r="A7" s="3" t="s">
        <v>8</v>
      </c>
      <c r="B7" s="4">
        <v>500</v>
      </c>
      <c r="C7" s="5" t="str">
        <f>IF(B7&gt;=500, "High Value", "Regular")</f>
        <v>High Value</v>
      </c>
      <c r="D7" s="6" t="str">
        <f>IF(B7&gt;=500, "High Value", "Regular")</f>
        <v>High Value</v>
      </c>
    </row>
    <row r="8" spans="1:5" x14ac:dyDescent="0.35">
      <c r="A8" s="3" t="s">
        <v>9</v>
      </c>
      <c r="B8" s="4">
        <v>180</v>
      </c>
      <c r="C8" s="5" t="str">
        <f>IF(B8&gt;=500, "High Value", "Regular")</f>
        <v>Regular</v>
      </c>
      <c r="D8" s="6" t="str">
        <f>IF(B8&gt;=500, "High Value", "Regular")</f>
        <v>Regular</v>
      </c>
    </row>
    <row r="9" spans="1:5" x14ac:dyDescent="0.35">
      <c r="A9" s="3" t="s">
        <v>10</v>
      </c>
      <c r="B9" s="4">
        <v>890</v>
      </c>
      <c r="C9" s="5" t="str">
        <f>IF(B9&gt;=500, "High Value", "Regular")</f>
        <v>High Value</v>
      </c>
      <c r="D9" s="6" t="str">
        <f>IF(B9&gt;=500, "High Value", "Regular")</f>
        <v>High Value</v>
      </c>
    </row>
    <row r="11" spans="1:5" ht="17" x14ac:dyDescent="0.4">
      <c r="A11" s="1" t="s">
        <v>11</v>
      </c>
    </row>
    <row r="12" spans="1:5" x14ac:dyDescent="0.35">
      <c r="A12" s="8" t="s">
        <v>12</v>
      </c>
      <c r="B12" s="8" t="s">
        <v>13</v>
      </c>
      <c r="C12" s="8" t="s">
        <v>14</v>
      </c>
      <c r="D12" s="8" t="s">
        <v>5</v>
      </c>
    </row>
    <row r="13" spans="1:5" x14ac:dyDescent="0.35">
      <c r="A13" s="7" t="s">
        <v>15</v>
      </c>
      <c r="B13" s="3">
        <v>1250</v>
      </c>
      <c r="C13" s="5" t="str">
        <f>IF(B13&gt;=1000, "Star", IF(B13&gt;=700, "Pro", IF(B13&gt;=400, "Rising", "Newbie")))</f>
        <v>Star</v>
      </c>
      <c r="D13" s="6" t="str">
        <f>IF(B13&gt;=1000, "Star", IF(B13&gt;=700, "Pro", IF(B13&gt;=400, "Rising", "Newbie")))</f>
        <v>Star</v>
      </c>
    </row>
    <row r="14" spans="1:5" x14ac:dyDescent="0.35">
      <c r="A14" s="7" t="s">
        <v>16</v>
      </c>
      <c r="B14" s="3">
        <v>880</v>
      </c>
      <c r="C14" s="5" t="str">
        <f>IF(B14&gt;=1000, "Star", IF(B14&gt;=700, "Pro", IF(B14&gt;=400, "Rising", "Newbie")))</f>
        <v>Pro</v>
      </c>
      <c r="D14" s="6" t="str">
        <f>IF(B14&gt;=1000, "Star", IF(B14&gt;=700, "Pro", IF(B14&gt;=400, "Rising", "Newbie")))</f>
        <v>Pro</v>
      </c>
    </row>
    <row r="15" spans="1:5" x14ac:dyDescent="0.35">
      <c r="A15" s="7" t="s">
        <v>17</v>
      </c>
      <c r="B15" s="3">
        <v>540</v>
      </c>
      <c r="C15" s="5" t="str">
        <f>IF(B15&gt;=1000, "Star", IF(B15&gt;=700, "Pro", IF(B15&gt;=400, "Rising", "Newbie")))</f>
        <v>Rising</v>
      </c>
      <c r="D15" s="6" t="str">
        <f>IF(B15&gt;=1000, "Star", IF(B15&gt;=700, "Pro", IF(B15&gt;=400, "Rising", "Newbie")))</f>
        <v>Rising</v>
      </c>
    </row>
    <row r="16" spans="1:5" x14ac:dyDescent="0.35">
      <c r="A16" s="7" t="s">
        <v>18</v>
      </c>
      <c r="B16" s="3">
        <v>310</v>
      </c>
      <c r="C16" s="5" t="str">
        <f>IF(B16&gt;=1000, "Star", IF(B16&gt;=700, "Pro", IF(B16&gt;=400, "Rising", "Newbie")))</f>
        <v>Newbie</v>
      </c>
      <c r="D16" s="6" t="str">
        <f>IF(B16&gt;=1000, "Star", IF(B16&gt;=700, "Pro", IF(B16&gt;=400, "Rising", "Newbie")))</f>
        <v>Newbie</v>
      </c>
    </row>
    <row r="17" spans="1:6" x14ac:dyDescent="0.35">
      <c r="A17" s="7" t="s">
        <v>19</v>
      </c>
      <c r="B17" s="3">
        <v>720</v>
      </c>
      <c r="C17" s="5" t="str">
        <f>IF(B17&gt;=1000, "Star", IF(B17&gt;=700, "Pro", IF(B17&gt;=400, "Rising", "Newbie")))</f>
        <v>Pro</v>
      </c>
      <c r="D17" s="6" t="str">
        <f>IF(B17&gt;=1000, "Star", IF(B17&gt;=700, "Pro", IF(B17&gt;=400, "Rising", "Newbie")))</f>
        <v>Pro</v>
      </c>
    </row>
    <row r="19" spans="1:6" ht="17" x14ac:dyDescent="0.4">
      <c r="A19" s="1" t="s">
        <v>20</v>
      </c>
    </row>
    <row r="20" spans="1:6" x14ac:dyDescent="0.35">
      <c r="A20" s="9" t="s">
        <v>21</v>
      </c>
      <c r="B20" s="9" t="s">
        <v>22</v>
      </c>
      <c r="C20" s="9" t="s">
        <v>23</v>
      </c>
      <c r="D20" s="9" t="s">
        <v>24</v>
      </c>
      <c r="E20" s="9" t="s">
        <v>5</v>
      </c>
    </row>
    <row r="21" spans="1:6" x14ac:dyDescent="0.35">
      <c r="A21" s="3" t="s">
        <v>25</v>
      </c>
      <c r="B21" s="3" t="s">
        <v>26</v>
      </c>
      <c r="C21" s="3" t="s">
        <v>27</v>
      </c>
      <c r="D21" s="5" t="str">
        <f>IF(AND(B21="Prepaid", C21="Delivered"), "Eligible", "Not Eligible")</f>
        <v>Eligible</v>
      </c>
      <c r="E21" s="6" t="str">
        <f>IF(AND(B21="Prepaid", C21="Delivered"), "Eligible", "Not Eligible")</f>
        <v>Eligible</v>
      </c>
    </row>
    <row r="22" spans="1:6" x14ac:dyDescent="0.35">
      <c r="A22" s="3" t="s">
        <v>28</v>
      </c>
      <c r="B22" s="3" t="s">
        <v>29</v>
      </c>
      <c r="C22" s="3" t="s">
        <v>27</v>
      </c>
      <c r="D22" s="5" t="str">
        <f>IF(AND(B22="Prepaid", C22="Delivered"), "Eligible", "Not Eligible")</f>
        <v>Not Eligible</v>
      </c>
      <c r="E22" s="6" t="str">
        <f>IF(AND(B22="Prepaid", C22="Delivered"), "Eligible", "Not Eligible")</f>
        <v>Not Eligible</v>
      </c>
    </row>
    <row r="23" spans="1:6" x14ac:dyDescent="0.35">
      <c r="A23" s="3" t="s">
        <v>30</v>
      </c>
      <c r="B23" s="3" t="s">
        <v>26</v>
      </c>
      <c r="C23" s="3" t="s">
        <v>31</v>
      </c>
      <c r="D23" s="5" t="str">
        <f>IF(AND(B23="Prepaid", C23="Delivered"), "Eligible", "Not Eligible")</f>
        <v>Not Eligible</v>
      </c>
      <c r="E23" s="6" t="str">
        <f>IF(AND(B23="Prepaid", C23="Delivered"), "Eligible", "Not Eligible")</f>
        <v>Not Eligible</v>
      </c>
    </row>
    <row r="24" spans="1:6" x14ac:dyDescent="0.35">
      <c r="A24" s="3" t="s">
        <v>32</v>
      </c>
      <c r="B24" s="3" t="s">
        <v>26</v>
      </c>
      <c r="C24" s="3" t="s">
        <v>27</v>
      </c>
      <c r="D24" s="5" t="str">
        <f>IF(AND(B24="Prepaid", C24="Delivered"), "Eligible", "Not Eligible")</f>
        <v>Eligible</v>
      </c>
      <c r="E24" s="6" t="str">
        <f>IF(AND(B24="Prepaid", C24="Delivered"), "Eligible", "Not Eligible")</f>
        <v>Eligible</v>
      </c>
    </row>
    <row r="25" spans="1:6" x14ac:dyDescent="0.35">
      <c r="A25" s="3" t="s">
        <v>33</v>
      </c>
      <c r="B25" s="3" t="s">
        <v>29</v>
      </c>
      <c r="C25" s="3" t="s">
        <v>34</v>
      </c>
      <c r="D25" s="5" t="str">
        <f>IF(AND(B25="Prepaid", C25="Delivered"), "Eligible", "Not Eligible")</f>
        <v>Not Eligible</v>
      </c>
      <c r="E25" s="6" t="str">
        <f>IF(AND(B25="Prepaid", C25="Delivered"), "Eligible", "Not Eligible")</f>
        <v>Not Eligible</v>
      </c>
    </row>
    <row r="27" spans="1:6" ht="17" x14ac:dyDescent="0.4">
      <c r="A27" s="1" t="s">
        <v>35</v>
      </c>
    </row>
    <row r="28" spans="1:6" x14ac:dyDescent="0.35">
      <c r="A28" s="10" t="s">
        <v>36</v>
      </c>
      <c r="B28" s="10" t="s">
        <v>37</v>
      </c>
      <c r="C28" s="10" t="s">
        <v>38</v>
      </c>
      <c r="D28" s="10" t="s">
        <v>39</v>
      </c>
      <c r="E28" s="10" t="s">
        <v>40</v>
      </c>
      <c r="F28" s="10" t="s">
        <v>5</v>
      </c>
    </row>
    <row r="29" spans="1:6" x14ac:dyDescent="0.35">
      <c r="A29" s="7" t="s">
        <v>41</v>
      </c>
      <c r="B29" s="7" t="s">
        <v>42</v>
      </c>
      <c r="C29" s="3" t="s">
        <v>43</v>
      </c>
      <c r="D29" s="3" t="s">
        <v>44</v>
      </c>
      <c r="E29" s="5" t="str">
        <f>IF(OR(C29="Yes", D29="Yes"), "Quick Access", "Standard")</f>
        <v>Quick Access</v>
      </c>
      <c r="F29" s="6" t="str">
        <f>IF(OR(C29="Yes", D29="Yes"), "Quick Access", "Standard")</f>
        <v>Quick Access</v>
      </c>
    </row>
    <row r="30" spans="1:6" x14ac:dyDescent="0.35">
      <c r="A30" s="7" t="s">
        <v>45</v>
      </c>
      <c r="B30" s="7" t="s">
        <v>46</v>
      </c>
      <c r="C30" s="3" t="s">
        <v>44</v>
      </c>
      <c r="D30" s="3" t="s">
        <v>44</v>
      </c>
      <c r="E30" s="5" t="str">
        <f>IF(OR(C30="Yes", D30="Yes"), "Quick Access", "Standard")</f>
        <v>Standard</v>
      </c>
      <c r="F30" s="6" t="str">
        <f>IF(OR(C30="Yes", D30="Yes"), "Quick Access", "Standard")</f>
        <v>Standard</v>
      </c>
    </row>
    <row r="31" spans="1:6" x14ac:dyDescent="0.35">
      <c r="A31" s="7" t="s">
        <v>47</v>
      </c>
      <c r="B31" s="7" t="s">
        <v>48</v>
      </c>
      <c r="C31" s="3" t="s">
        <v>43</v>
      </c>
      <c r="D31" s="3" t="s">
        <v>43</v>
      </c>
      <c r="E31" s="5" t="str">
        <f>IF(OR(C31="Yes", D31="Yes"), "Quick Access", "Standard")</f>
        <v>Quick Access</v>
      </c>
      <c r="F31" s="6" t="str">
        <f>IF(OR(C31="Yes", D31="Yes"), "Quick Access", "Standard")</f>
        <v>Quick Access</v>
      </c>
    </row>
    <row r="32" spans="1:6" x14ac:dyDescent="0.35">
      <c r="A32" s="7" t="s">
        <v>49</v>
      </c>
      <c r="B32" s="7" t="s">
        <v>50</v>
      </c>
      <c r="C32" s="3" t="s">
        <v>44</v>
      </c>
      <c r="D32" s="3" t="s">
        <v>43</v>
      </c>
      <c r="E32" s="5" t="str">
        <f>IF(OR(C32="Yes", D32="Yes"), "Quick Access", "Standard")</f>
        <v>Quick Access</v>
      </c>
      <c r="F32" s="6" t="str">
        <f>IF(OR(C32="Yes", D32="Yes"), "Quick Access", "Standard")</f>
        <v>Quick Access</v>
      </c>
    </row>
    <row r="33" spans="1:6" x14ac:dyDescent="0.35">
      <c r="A33" s="7" t="s">
        <v>51</v>
      </c>
      <c r="B33" s="7" t="s">
        <v>52</v>
      </c>
      <c r="C33" s="3" t="s">
        <v>44</v>
      </c>
      <c r="D33" s="3" t="s">
        <v>44</v>
      </c>
      <c r="E33" s="5" t="str">
        <f>IF(OR(C33="Yes", D33="Yes"), "Quick Access", "Standard")</f>
        <v>Standard</v>
      </c>
      <c r="F33" s="6" t="str">
        <f>IF(OR(C33="Yes", D33="Yes"), "Quick Access", "Standard")</f>
        <v>Standard</v>
      </c>
    </row>
    <row r="35" spans="1:6" ht="17" x14ac:dyDescent="0.4">
      <c r="A35" s="1" t="s">
        <v>53</v>
      </c>
    </row>
    <row r="36" spans="1:6" x14ac:dyDescent="0.35">
      <c r="A36" s="11" t="s">
        <v>54</v>
      </c>
      <c r="B36" s="11" t="s">
        <v>55</v>
      </c>
      <c r="C36" s="11" t="s">
        <v>22</v>
      </c>
      <c r="D36" s="11" t="s">
        <v>56</v>
      </c>
      <c r="E36" s="11" t="s">
        <v>5</v>
      </c>
    </row>
    <row r="37" spans="1:6" x14ac:dyDescent="0.35">
      <c r="A37" s="3" t="s">
        <v>57</v>
      </c>
      <c r="B37" s="3" t="s">
        <v>43</v>
      </c>
      <c r="C37" s="3" t="s">
        <v>58</v>
      </c>
      <c r="D37" s="5" t="e">
        <f ca="1">IF(_xludf.XOR(B37="Yes", C37="Cash"), "Suspicious", "Normal")</f>
        <v>#NAME?</v>
      </c>
      <c r="E37" s="6" t="e">
        <f ca="1">IF(_xludf.XOR(B37="Yes", C37="Cash"), "Suspicious", "Normal")</f>
        <v>#NAME?</v>
      </c>
    </row>
    <row r="38" spans="1:6" x14ac:dyDescent="0.35">
      <c r="A38" s="3" t="s">
        <v>59</v>
      </c>
      <c r="B38" s="3" t="s">
        <v>43</v>
      </c>
      <c r="C38" s="3" t="s">
        <v>60</v>
      </c>
      <c r="D38" s="5" t="e">
        <f ca="1">IF(_xludf.XOR(B38="Yes", C38="Cash"), "Suspicious", "Normal")</f>
        <v>#NAME?</v>
      </c>
      <c r="E38" s="6" t="e">
        <f ca="1">IF(_xludf.XOR(B38="Yes", C38="Cash"), "Suspicious", "Normal")</f>
        <v>#NAME?</v>
      </c>
    </row>
    <row r="39" spans="1:6" x14ac:dyDescent="0.35">
      <c r="A39" s="3" t="s">
        <v>61</v>
      </c>
      <c r="B39" s="3" t="s">
        <v>44</v>
      </c>
      <c r="C39" s="3" t="s">
        <v>58</v>
      </c>
      <c r="D39" s="5" t="e">
        <f ca="1">IF(_xludf.XOR(B39="Yes", C39="Cash"), "Suspicious", "Normal")</f>
        <v>#NAME?</v>
      </c>
      <c r="E39" s="6" t="e">
        <f ca="1">IF(_xludf.XOR(B39="Yes", C39="Cash"), "Suspicious", "Normal")</f>
        <v>#NAME?</v>
      </c>
    </row>
    <row r="40" spans="1:6" x14ac:dyDescent="0.35">
      <c r="A40" s="3" t="s">
        <v>62</v>
      </c>
      <c r="B40" s="3" t="s">
        <v>44</v>
      </c>
      <c r="C40" s="3" t="s">
        <v>60</v>
      </c>
      <c r="D40" s="5" t="e">
        <f ca="1">IF(_xludf.XOR(B40="Yes", C40="Cash"), "Suspicious", "Normal")</f>
        <v>#NAME?</v>
      </c>
      <c r="E40" s="6" t="e">
        <f ca="1">IF(_xludf.XOR(B40="Yes", C40="Cash"), "Suspicious", "Normal")</f>
        <v>#NAME?</v>
      </c>
    </row>
    <row r="41" spans="1:6" x14ac:dyDescent="0.35">
      <c r="A41" s="3" t="s">
        <v>63</v>
      </c>
      <c r="B41" s="3" t="s">
        <v>43</v>
      </c>
      <c r="C41" s="3" t="s">
        <v>64</v>
      </c>
      <c r="D41" s="5" t="e">
        <f ca="1">IF(_xludf.XOR(B41="Yes", C41="Cash"), "Suspicious", "Normal")</f>
        <v>#NAME?</v>
      </c>
      <c r="E41" s="6" t="e">
        <f ca="1">IF(_xludf.XOR(B41="Yes", C41="Cash"), "Suspicious", "Normal")</f>
        <v>#NAME?</v>
      </c>
    </row>
  </sheetData>
  <mergeCells count="1">
    <mergeCell ref="A1:E1"/>
  </mergeCells>
  <pageMargins left="0.75" right="0.75" top="1" bottom="1" header="0.5" footer="0.5"/>
  <ignoredErrors>
    <ignoredError sqref="D41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barot</cp:lastModifiedBy>
  <dcterms:created xsi:type="dcterms:W3CDTF">2026-09-26T04:34:29Z</dcterms:created>
  <dcterms:modified xsi:type="dcterms:W3CDTF">2026-09-26T04:54:44Z</dcterms:modified>
</cp:coreProperties>
</file>