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c3f283b6372641a8/Documents/SESSION 9/"/>
    </mc:Choice>
  </mc:AlternateContent>
  <xr:revisionPtr revIDLastSave="6" documentId="11_295D37971458F2CEE30AE89659300EB82389CCAC" xr6:coauthVersionLast="47" xr6:coauthVersionMax="47" xr10:uidLastSave="{31120CDD-2621-4B44-956E-BDE662132D2F}"/>
  <bookViews>
    <workbookView xWindow="-110" yWindow="-110" windowWidth="19420" windowHeight="11020" xr2:uid="{00000000-000D-0000-FFFF-FFFF00000000}"/>
  </bookViews>
  <sheets>
    <sheet name="SESSION 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47" i="1" l="1"/>
  <c r="F44" i="1"/>
  <c r="E28" i="1"/>
  <c r="B22" i="1"/>
  <c r="E5" i="1"/>
</calcChain>
</file>

<file path=xl/sharedStrings.xml><?xml version="1.0" encoding="utf-8"?>
<sst xmlns="http://schemas.openxmlformats.org/spreadsheetml/2006/main" count="75" uniqueCount="66">
  <si>
    <t>SESSION 9 – Lookup Functions (VLOOKUP, HLOOKUP, Exact vs Approx, Limitations)</t>
  </si>
  <si>
    <t>Task 1: VLOOKUP (Search Product Price by Product Name)</t>
  </si>
  <si>
    <t>Product Name</t>
  </si>
  <si>
    <t>Price (₹)</t>
  </si>
  <si>
    <t>🔍 Lookup Product:</t>
  </si>
  <si>
    <t>Sony WH-1000XM5 Headphones</t>
  </si>
  <si>
    <t>Apple iPhone 15 (128GB)</t>
  </si>
  <si>
    <t>Fetched Price (VLOOKUP):</t>
  </si>
  <si>
    <t>Samsung Galaxy S24 (256GB)</t>
  </si>
  <si>
    <t>Apple MacBook Air M2</t>
  </si>
  <si>
    <t>Dell XPS 13 Laptop</t>
  </si>
  <si>
    <t>OnePlus 12 (512GB)</t>
  </si>
  <si>
    <t>Boat Airdopes 141</t>
  </si>
  <si>
    <t>Noise ColorFit Smartwatch</t>
  </si>
  <si>
    <t>Logitech MX Master 3S</t>
  </si>
  <si>
    <t>Kindle Paperwhite (16GB)</t>
  </si>
  <si>
    <t>Task 2: HLOOKUP (Horizontal Lookup for Dish Ratings)</t>
  </si>
  <si>
    <t>Dish Name (Row 1)</t>
  </si>
  <si>
    <t>Butter Paneer</t>
  </si>
  <si>
    <t>Masala Dosa</t>
  </si>
  <si>
    <t>Veg Biryani</t>
  </si>
  <si>
    <t>Hakka Noodles</t>
  </si>
  <si>
    <t>Margherita Pizza</t>
  </si>
  <si>
    <t>Pav Bhaji</t>
  </si>
  <si>
    <t>Chole Bhature</t>
  </si>
  <si>
    <t>Dal Makhani</t>
  </si>
  <si>
    <t>Rating / 5 (Row 2)</t>
  </si>
  <si>
    <t>🍲 Enter Dish Name:</t>
  </si>
  <si>
    <t>Fetched Rating (HLOOKUP):</t>
  </si>
  <si>
    <t>Task 3: VLOOKUP with Approximate Match (TRUE) - Instagram Users &amp; Numbers</t>
  </si>
  <si>
    <t>Instagram Username</t>
  </si>
  <si>
    <t>Mobile Number</t>
  </si>
  <si>
    <t>Search User (Misspelled / Partial):</t>
  </si>
  <si>
    <t>virat_kohl</t>
  </si>
  <si>
    <t>akshay_kumar</t>
  </si>
  <si>
    <t>+91 98250 11223</t>
  </si>
  <si>
    <t>Result with TRUE (Approximate):</t>
  </si>
  <si>
    <t>alia_bhatt</t>
  </si>
  <si>
    <t>+91 98791 22334</t>
  </si>
  <si>
    <t>deepika_padukone</t>
  </si>
  <si>
    <t>+91 97240 33445</t>
  </si>
  <si>
    <t>hardik_pandya</t>
  </si>
  <si>
    <t>+91 99099 44556</t>
  </si>
  <si>
    <t>katrina_kaif</t>
  </si>
  <si>
    <t>+91 98980 55667</t>
  </si>
  <si>
    <t>kl_rahul</t>
  </si>
  <si>
    <t>+91 97123 66778</t>
  </si>
  <si>
    <t>priyanka_chopra</t>
  </si>
  <si>
    <t>+91 99245 77889</t>
  </si>
  <si>
    <t>ranveer_singh</t>
  </si>
  <si>
    <t>+91 98241 88990</t>
  </si>
  <si>
    <t>rohit_sharma</t>
  </si>
  <si>
    <t>+91 97255 99001</t>
  </si>
  <si>
    <t>sachin_tendulkar</t>
  </si>
  <si>
    <t>+91 98989 12345</t>
  </si>
  <si>
    <t>shraddha_kapoor</t>
  </si>
  <si>
    <t>+91 99044 23456</t>
  </si>
  <si>
    <t>virat_kohli</t>
  </si>
  <si>
    <t>+91 98255 34567</t>
  </si>
  <si>
    <t>Task 4: Limitation of VLOOKUP (Lookup Column Must Be Leftmost)</t>
  </si>
  <si>
    <t>Discount % (Added to Left)</t>
  </si>
  <si>
    <t>Product Name (Col 2)</t>
  </si>
  <si>
    <t>🔍 Search Product:</t>
  </si>
  <si>
    <t>Try VLOOKUP for Price (Range A44:C48):</t>
  </si>
  <si>
    <t>Why it Fails (VLOOKUP Rule):</t>
  </si>
  <si>
    <t>💡 Modern Solution (XLOOKUP / INDEX-MATCH):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</si>
</sst>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0.0\ \★"/>
  </numFmts>
  <fonts count="10" x14ac:knownFonts="1">
    <font>
      <sz val="11"/>
      <color theme="1"/>
      <name val="Calibri"/>
      <family val="2"/>
      <scheme val="minor"/>
    </font>
    <font>
      <b/>
      <sz val="15"/>
      <color rgb="FFFFFFFF"/>
      <name val="Calibri"/>
      <family val="2"/>
    </font>
    <font>
      <b/>
      <sz val="13"/>
      <color rgb="FF1F4E78"/>
      <name val="Calibri"/>
      <family val="2"/>
    </font>
    <font>
      <b/>
      <sz val="11"/>
      <color rgb="FFFFFFFF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1"/>
      <color rgb="FF003366"/>
      <name val="Calibri"/>
      <family val="2"/>
    </font>
    <font>
      <i/>
      <sz val="10"/>
      <color rgb="FF595959"/>
      <name val="Calibri"/>
      <family val="2"/>
    </font>
    <font>
      <b/>
      <sz val="11"/>
      <color rgb="FFC00000"/>
      <name val="Calibri"/>
      <family val="2"/>
    </font>
    <font>
      <b/>
      <sz val="11"/>
      <color rgb="FF0061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CE4D6"/>
        <bgColor rgb="FFFCE4D6"/>
      </patternFill>
    </fill>
    <fill>
      <patternFill patternType="solid">
        <fgColor rgb="FFE2EFDA"/>
        <bgColor rgb="FFE2EFDA"/>
      </patternFill>
    </fill>
    <fill>
      <patternFill patternType="solid">
        <fgColor rgb="FFF8CBAD"/>
        <bgColor rgb="FFF8CBA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/>
    </xf>
    <xf numFmtId="0" fontId="5" fillId="3" borderId="1" xfId="0" applyFont="1" applyFill="1" applyBorder="1"/>
    <xf numFmtId="0" fontId="4" fillId="0" borderId="1" xfId="0" applyFont="1" applyBorder="1"/>
    <xf numFmtId="164" fontId="4" fillId="0" borderId="1" xfId="0" applyNumberFormat="1" applyFont="1" applyBorder="1" applyAlignment="1">
      <alignment horizontal="right"/>
    </xf>
    <xf numFmtId="0" fontId="5" fillId="4" borderId="1" xfId="0" applyFont="1" applyFill="1" applyBorder="1"/>
    <xf numFmtId="164" fontId="6" fillId="4" borderId="1" xfId="0" applyNumberFormat="1" applyFont="1" applyFill="1" applyBorder="1" applyAlignment="1">
      <alignment horizontal="right"/>
    </xf>
    <xf numFmtId="0" fontId="7" fillId="0" borderId="1" xfId="0" applyFont="1" applyBorder="1"/>
    <xf numFmtId="0" fontId="3" fillId="2" borderId="1" xfId="0" applyFont="1" applyFill="1" applyBorder="1"/>
    <xf numFmtId="0" fontId="5" fillId="0" borderId="1" xfId="0" applyFont="1" applyBorder="1" applyAlignment="1">
      <alignment horizontal="center"/>
    </xf>
    <xf numFmtId="165" fontId="4" fillId="0" borderId="1" xfId="0" applyNumberFormat="1" applyFont="1" applyBorder="1" applyAlignment="1">
      <alignment horizontal="center"/>
    </xf>
    <xf numFmtId="165" fontId="6" fillId="4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8" fillId="0" borderId="0" xfId="0" applyFont="1"/>
    <xf numFmtId="0" fontId="7" fillId="0" borderId="0" xfId="0" applyFont="1"/>
    <xf numFmtId="0" fontId="8" fillId="5" borderId="1" xfId="0" applyFont="1" applyFill="1" applyBorder="1" applyAlignment="1">
      <alignment horizontal="center"/>
    </xf>
    <xf numFmtId="9" fontId="4" fillId="0" borderId="1" xfId="0" applyNumberFormat="1" applyFont="1" applyBorder="1" applyAlignment="1">
      <alignment horizontal="center"/>
    </xf>
    <xf numFmtId="0" fontId="8" fillId="5" borderId="1" xfId="0" applyFont="1" applyFill="1" applyBorder="1"/>
    <xf numFmtId="0" fontId="5" fillId="0" borderId="1" xfId="0" applyFont="1" applyBorder="1"/>
    <xf numFmtId="0" fontId="9" fillId="4" borderId="1" xfId="0" applyFont="1" applyFill="1" applyBorder="1"/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tabSelected="1" topLeftCell="A27" workbookViewId="0">
      <selection activeCell="D45" sqref="D45"/>
    </sheetView>
  </sheetViews>
  <sheetFormatPr defaultRowHeight="14.5" x14ac:dyDescent="0.35"/>
  <cols>
    <col min="1" max="2" width="30" customWidth="1"/>
    <col min="3" max="3" width="20" customWidth="1"/>
    <col min="4" max="4" width="35" customWidth="1"/>
    <col min="5" max="6" width="38" customWidth="1"/>
    <col min="7" max="7" width="20" customWidth="1"/>
  </cols>
  <sheetData>
    <row r="1" spans="1:7" ht="32" customHeight="1" x14ac:dyDescent="0.35">
      <c r="A1" s="22" t="s">
        <v>0</v>
      </c>
      <c r="B1" s="23"/>
      <c r="C1" s="23"/>
      <c r="D1" s="23"/>
      <c r="E1" s="23"/>
      <c r="F1" s="23"/>
      <c r="G1" s="23"/>
    </row>
    <row r="3" spans="1:7" ht="17" x14ac:dyDescent="0.4">
      <c r="A3" s="1" t="s">
        <v>1</v>
      </c>
    </row>
    <row r="4" spans="1:7" x14ac:dyDescent="0.35">
      <c r="A4" s="2" t="s">
        <v>2</v>
      </c>
      <c r="B4" s="2" t="s">
        <v>3</v>
      </c>
      <c r="D4" s="3" t="s">
        <v>4</v>
      </c>
      <c r="E4" s="3" t="s">
        <v>5</v>
      </c>
    </row>
    <row r="5" spans="1:7" x14ac:dyDescent="0.35">
      <c r="A5" s="4" t="s">
        <v>6</v>
      </c>
      <c r="B5" s="5">
        <v>69999</v>
      </c>
      <c r="D5" s="6" t="s">
        <v>7</v>
      </c>
      <c r="E5" s="7">
        <f>VLOOKUP(E4, A5:B14, 2, FALSE)</f>
        <v>28990</v>
      </c>
    </row>
    <row r="6" spans="1:7" x14ac:dyDescent="0.35">
      <c r="A6" s="4" t="s">
        <v>8</v>
      </c>
      <c r="B6" s="5">
        <v>79999</v>
      </c>
      <c r="D6" s="8"/>
      <c r="E6" s="8"/>
    </row>
    <row r="7" spans="1:7" x14ac:dyDescent="0.35">
      <c r="A7" s="4" t="s">
        <v>5</v>
      </c>
      <c r="B7" s="5">
        <v>28990</v>
      </c>
    </row>
    <row r="8" spans="1:7" x14ac:dyDescent="0.35">
      <c r="A8" s="4" t="s">
        <v>9</v>
      </c>
      <c r="B8" s="5">
        <v>89900</v>
      </c>
    </row>
    <row r="9" spans="1:7" x14ac:dyDescent="0.35">
      <c r="A9" s="4" t="s">
        <v>10</v>
      </c>
      <c r="B9" s="5">
        <v>114990</v>
      </c>
    </row>
    <row r="10" spans="1:7" x14ac:dyDescent="0.35">
      <c r="A10" s="4" t="s">
        <v>11</v>
      </c>
      <c r="B10" s="5">
        <v>64999</v>
      </c>
    </row>
    <row r="11" spans="1:7" x14ac:dyDescent="0.35">
      <c r="A11" s="4" t="s">
        <v>12</v>
      </c>
      <c r="B11" s="5">
        <v>1299</v>
      </c>
    </row>
    <row r="12" spans="1:7" x14ac:dyDescent="0.35">
      <c r="A12" s="4" t="s">
        <v>13</v>
      </c>
      <c r="B12" s="5">
        <v>1799</v>
      </c>
    </row>
    <row r="13" spans="1:7" x14ac:dyDescent="0.35">
      <c r="A13" s="4" t="s">
        <v>14</v>
      </c>
      <c r="B13" s="5">
        <v>8995</v>
      </c>
    </row>
    <row r="14" spans="1:7" x14ac:dyDescent="0.35">
      <c r="A14" s="4" t="s">
        <v>15</v>
      </c>
      <c r="B14" s="5">
        <v>14999</v>
      </c>
    </row>
    <row r="17" spans="1:9" ht="17" x14ac:dyDescent="0.4">
      <c r="A17" s="1" t="s">
        <v>16</v>
      </c>
    </row>
    <row r="18" spans="1:9" x14ac:dyDescent="0.35">
      <c r="A18" s="9" t="s">
        <v>17</v>
      </c>
      <c r="B18" s="10" t="s">
        <v>18</v>
      </c>
      <c r="C18" s="10" t="s">
        <v>19</v>
      </c>
      <c r="D18" s="10" t="s">
        <v>20</v>
      </c>
      <c r="E18" s="10" t="s">
        <v>21</v>
      </c>
      <c r="F18" s="10" t="s">
        <v>22</v>
      </c>
      <c r="G18" s="10" t="s">
        <v>23</v>
      </c>
      <c r="H18" s="10" t="s">
        <v>24</v>
      </c>
      <c r="I18" s="10" t="s">
        <v>25</v>
      </c>
    </row>
    <row r="19" spans="1:9" x14ac:dyDescent="0.35">
      <c r="A19" s="9" t="s">
        <v>26</v>
      </c>
      <c r="B19" s="11">
        <v>4.8</v>
      </c>
      <c r="C19" s="11">
        <v>4.5999999999999996</v>
      </c>
      <c r="D19" s="11">
        <v>4.7</v>
      </c>
      <c r="E19" s="11">
        <v>4.3</v>
      </c>
      <c r="F19" s="11">
        <v>4.5</v>
      </c>
      <c r="G19" s="11">
        <v>4.9000000000000004</v>
      </c>
      <c r="H19" s="11">
        <v>4.4000000000000004</v>
      </c>
      <c r="I19" s="11">
        <v>4.5999999999999996</v>
      </c>
    </row>
    <row r="21" spans="1:9" x14ac:dyDescent="0.35">
      <c r="A21" s="3" t="s">
        <v>27</v>
      </c>
      <c r="B21" s="3" t="s">
        <v>23</v>
      </c>
    </row>
    <row r="22" spans="1:9" x14ac:dyDescent="0.35">
      <c r="A22" s="6" t="s">
        <v>28</v>
      </c>
      <c r="B22" s="12">
        <f>HLOOKUP(B21, B18:I19, 2, FALSE)</f>
        <v>4.9000000000000004</v>
      </c>
    </row>
    <row r="23" spans="1:9" x14ac:dyDescent="0.35">
      <c r="A23" s="8"/>
      <c r="B23" s="8"/>
    </row>
    <row r="26" spans="1:9" ht="17" x14ac:dyDescent="0.4">
      <c r="A26" s="1" t="s">
        <v>29</v>
      </c>
    </row>
    <row r="27" spans="1:9" x14ac:dyDescent="0.35">
      <c r="A27" s="2" t="s">
        <v>30</v>
      </c>
      <c r="B27" s="2" t="s">
        <v>31</v>
      </c>
      <c r="D27" s="3" t="s">
        <v>32</v>
      </c>
      <c r="E27" s="3" t="s">
        <v>33</v>
      </c>
    </row>
    <row r="28" spans="1:9" x14ac:dyDescent="0.35">
      <c r="A28" s="4" t="s">
        <v>34</v>
      </c>
      <c r="B28" s="13" t="s">
        <v>35</v>
      </c>
      <c r="D28" s="6" t="s">
        <v>36</v>
      </c>
      <c r="E28" s="14" t="str">
        <f>VLOOKUP(E27, A28:B39, 2, TRUE)</f>
        <v>+91 99044 23456</v>
      </c>
    </row>
    <row r="29" spans="1:9" x14ac:dyDescent="0.35">
      <c r="A29" s="4" t="s">
        <v>37</v>
      </c>
      <c r="B29" s="13" t="s">
        <v>38</v>
      </c>
      <c r="D29" s="8"/>
      <c r="E29" s="8"/>
    </row>
    <row r="30" spans="1:9" x14ac:dyDescent="0.35">
      <c r="A30" s="4" t="s">
        <v>39</v>
      </c>
      <c r="B30" s="13" t="s">
        <v>40</v>
      </c>
    </row>
    <row r="31" spans="1:9" x14ac:dyDescent="0.35">
      <c r="A31" s="4" t="s">
        <v>41</v>
      </c>
      <c r="B31" s="13" t="s">
        <v>42</v>
      </c>
      <c r="D31" s="15"/>
    </row>
    <row r="32" spans="1:9" x14ac:dyDescent="0.35">
      <c r="A32" s="4" t="s">
        <v>43</v>
      </c>
      <c r="B32" s="13" t="s">
        <v>44</v>
      </c>
      <c r="D32" s="16"/>
    </row>
    <row r="33" spans="1:6" x14ac:dyDescent="0.35">
      <c r="A33" s="4" t="s">
        <v>45</v>
      </c>
      <c r="B33" s="13" t="s">
        <v>46</v>
      </c>
      <c r="D33" s="16"/>
    </row>
    <row r="34" spans="1:6" x14ac:dyDescent="0.35">
      <c r="A34" s="4" t="s">
        <v>47</v>
      </c>
      <c r="B34" s="13" t="s">
        <v>48</v>
      </c>
      <c r="D34" s="16"/>
    </row>
    <row r="35" spans="1:6" x14ac:dyDescent="0.35">
      <c r="A35" s="4" t="s">
        <v>49</v>
      </c>
      <c r="B35" s="13" t="s">
        <v>50</v>
      </c>
      <c r="D35" s="16"/>
    </row>
    <row r="36" spans="1:6" x14ac:dyDescent="0.35">
      <c r="A36" s="4" t="s">
        <v>51</v>
      </c>
      <c r="B36" s="13" t="s">
        <v>52</v>
      </c>
    </row>
    <row r="37" spans="1:6" x14ac:dyDescent="0.35">
      <c r="A37" s="4" t="s">
        <v>53</v>
      </c>
      <c r="B37" s="13" t="s">
        <v>54</v>
      </c>
    </row>
    <row r="38" spans="1:6" x14ac:dyDescent="0.35">
      <c r="A38" s="4" t="s">
        <v>55</v>
      </c>
      <c r="B38" s="13" t="s">
        <v>56</v>
      </c>
    </row>
    <row r="39" spans="1:6" x14ac:dyDescent="0.35">
      <c r="A39" s="4" t="s">
        <v>57</v>
      </c>
      <c r="B39" s="13" t="s">
        <v>58</v>
      </c>
    </row>
    <row r="42" spans="1:6" ht="17" x14ac:dyDescent="0.4">
      <c r="A42" s="1" t="s">
        <v>59</v>
      </c>
    </row>
    <row r="43" spans="1:6" x14ac:dyDescent="0.35">
      <c r="A43" s="17" t="s">
        <v>60</v>
      </c>
      <c r="B43" s="2" t="s">
        <v>61</v>
      </c>
      <c r="C43" s="2" t="s">
        <v>3</v>
      </c>
      <c r="E43" s="3" t="s">
        <v>62</v>
      </c>
      <c r="F43" s="3" t="s">
        <v>6</v>
      </c>
    </row>
    <row r="44" spans="1:6" x14ac:dyDescent="0.35">
      <c r="A44" s="18">
        <v>0.1</v>
      </c>
      <c r="B44" s="4" t="s">
        <v>6</v>
      </c>
      <c r="C44" s="5">
        <v>69999</v>
      </c>
      <c r="E44" s="19" t="s">
        <v>63</v>
      </c>
      <c r="F44" s="17" t="e">
        <f>VLOOKUP(F43, A44:C48, 3, FALSE)</f>
        <v>#N/A</v>
      </c>
    </row>
    <row r="45" spans="1:6" x14ac:dyDescent="0.35">
      <c r="A45" s="18">
        <v>0.15</v>
      </c>
      <c r="B45" s="4" t="s">
        <v>8</v>
      </c>
      <c r="C45" s="5">
        <v>79999</v>
      </c>
      <c r="E45" s="8"/>
      <c r="F45" s="8"/>
    </row>
    <row r="46" spans="1:6" x14ac:dyDescent="0.35">
      <c r="A46" s="18">
        <v>0.2</v>
      </c>
      <c r="B46" s="4" t="s">
        <v>5</v>
      </c>
      <c r="C46" s="5">
        <v>28990</v>
      </c>
      <c r="E46" s="20" t="s">
        <v>64</v>
      </c>
      <c r="F46" s="8"/>
    </row>
    <row r="47" spans="1:6" x14ac:dyDescent="0.35">
      <c r="A47" s="18">
        <v>0.08</v>
      </c>
      <c r="B47" s="4" t="s">
        <v>9</v>
      </c>
      <c r="C47" s="5">
        <v>89900</v>
      </c>
      <c r="E47" s="21" t="s">
        <v>65</v>
      </c>
      <c r="F47" s="7" t="e">
        <f ca="1">_xludf.XLOOKUP(F43, B44:B48, C44:C48)</f>
        <v>#NAME?</v>
      </c>
    </row>
    <row r="48" spans="1:6" x14ac:dyDescent="0.35">
      <c r="A48" s="18">
        <v>0.12</v>
      </c>
      <c r="B48" s="4" t="s">
        <v>10</v>
      </c>
      <c r="C48" s="5">
        <v>114990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 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jay barot</cp:lastModifiedBy>
  <dcterms:created xsi:type="dcterms:W3CDTF">2026-09-27T05:56:43Z</dcterms:created>
  <dcterms:modified xsi:type="dcterms:W3CDTF">2026-09-27T05:58:40Z</dcterms:modified>
</cp:coreProperties>
</file>