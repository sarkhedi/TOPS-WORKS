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21/"/>
    </mc:Choice>
  </mc:AlternateContent>
  <xr:revisionPtr revIDLastSave="7" documentId="11_F5E344558E8E553907DD1A2F6FFA4D816F858098" xr6:coauthVersionLast="47" xr6:coauthVersionMax="47" xr10:uidLastSave="{E5904418-5C47-4C44-AB9B-E0C3DB50ED27}"/>
  <bookViews>
    <workbookView xWindow="-110" yWindow="-110" windowWidth="19420" windowHeight="11020" xr2:uid="{00000000-000D-0000-FFFF-FFFF00000000}"/>
  </bookViews>
  <sheets>
    <sheet name="Mini Dashboard" sheetId="1" r:id="rId1"/>
    <sheet name="Cleaned Orders Data" sheetId="2" r:id="rId2"/>
    <sheet name="Restaurant Details" sheetId="3" r:id="rId3"/>
    <sheet name="Task 4 - City Summary" sheetId="4" r:id="rId4"/>
    <sheet name="Cleaning Log &amp; Gui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D11" i="4" s="1"/>
  <c r="B11" i="4"/>
  <c r="D10" i="4"/>
  <c r="E9" i="4"/>
  <c r="D9" i="4"/>
  <c r="D8" i="4"/>
  <c r="E7" i="4"/>
  <c r="D7" i="4"/>
  <c r="D6" i="4"/>
  <c r="E5" i="4"/>
  <c r="D5" i="4"/>
  <c r="H64" i="2"/>
  <c r="D64" i="2"/>
  <c r="H63" i="2"/>
  <c r="D63" i="2"/>
  <c r="H62" i="2"/>
  <c r="D62" i="2"/>
  <c r="H61" i="2"/>
  <c r="D61" i="2"/>
  <c r="H60" i="2"/>
  <c r="D60" i="2"/>
  <c r="H59" i="2"/>
  <c r="D59" i="2"/>
  <c r="H58" i="2"/>
  <c r="D58" i="2"/>
  <c r="H57" i="2"/>
  <c r="D57" i="2"/>
  <c r="H56" i="2"/>
  <c r="D56" i="2"/>
  <c r="H55" i="2"/>
  <c r="D55" i="2"/>
  <c r="H54" i="2"/>
  <c r="D54" i="2"/>
  <c r="H53" i="2"/>
  <c r="D53" i="2"/>
  <c r="H52" i="2"/>
  <c r="D52" i="2"/>
  <c r="H51" i="2"/>
  <c r="D51" i="2"/>
  <c r="H50" i="2"/>
  <c r="D50" i="2"/>
  <c r="H49" i="2"/>
  <c r="D49" i="2"/>
  <c r="H48" i="2"/>
  <c r="D48" i="2"/>
  <c r="H47" i="2"/>
  <c r="D47" i="2"/>
  <c r="H46" i="2"/>
  <c r="D46" i="2"/>
  <c r="H45" i="2"/>
  <c r="D45" i="2"/>
  <c r="H44" i="2"/>
  <c r="D44" i="2"/>
  <c r="H43" i="2"/>
  <c r="D43" i="2"/>
  <c r="H42" i="2"/>
  <c r="D42" i="2"/>
  <c r="H41" i="2"/>
  <c r="D41" i="2"/>
  <c r="H40" i="2"/>
  <c r="D40" i="2"/>
  <c r="H39" i="2"/>
  <c r="D39" i="2"/>
  <c r="H38" i="2"/>
  <c r="D38" i="2"/>
  <c r="H37" i="2"/>
  <c r="D37" i="2"/>
  <c r="H36" i="2"/>
  <c r="D36" i="2"/>
  <c r="H35" i="2"/>
  <c r="D35" i="2"/>
  <c r="H34" i="2"/>
  <c r="D34" i="2"/>
  <c r="H33" i="2"/>
  <c r="D33" i="2"/>
  <c r="H32" i="2"/>
  <c r="D32" i="2"/>
  <c r="H31" i="2"/>
  <c r="D31" i="2"/>
  <c r="H30" i="2"/>
  <c r="D30" i="2"/>
  <c r="H29" i="2"/>
  <c r="D29" i="2"/>
  <c r="H28" i="2"/>
  <c r="D28" i="2"/>
  <c r="H27" i="2"/>
  <c r="D27" i="2"/>
  <c r="H26" i="2"/>
  <c r="D26" i="2"/>
  <c r="H25" i="2"/>
  <c r="D25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H5" i="2"/>
  <c r="D5" i="2"/>
  <c r="K20" i="1"/>
  <c r="J20" i="1"/>
  <c r="I20" i="1"/>
  <c r="K19" i="1"/>
  <c r="K18" i="1"/>
  <c r="K17" i="1"/>
  <c r="K16" i="1"/>
  <c r="K15" i="1"/>
  <c r="K14" i="1"/>
  <c r="K7" i="1"/>
  <c r="H7" i="1"/>
  <c r="E7" i="1"/>
  <c r="B7" i="1"/>
  <c r="E6" i="4" l="1"/>
  <c r="E8" i="4"/>
  <c r="E10" i="4"/>
</calcChain>
</file>

<file path=xl/sharedStrings.xml><?xml version="1.0" encoding="utf-8"?>
<sst xmlns="http://schemas.openxmlformats.org/spreadsheetml/2006/main" count="551" uniqueCount="254">
  <si>
    <t>SWIGGY / ZOMATO FOOD DELIVERY MINI DASHBOARD</t>
  </si>
  <si>
    <t>Operational Case Study Analytics  |  Platform: Swiggy/Zomato  |  Active Scope: Gujarat &amp; Major Metros</t>
  </si>
  <si>
    <t>1. KEY OPERATIONAL METRICS (KPIs)</t>
  </si>
  <si>
    <t>TOTAL ORDERS</t>
  </si>
  <si>
    <t>AVG DELIVERY TIME</t>
  </si>
  <si>
    <t>TOTAL DELIVERY FEES</t>
  </si>
  <si>
    <t>GROSS ORDER VALUE</t>
  </si>
  <si>
    <t>Total Volume Processed</t>
  </si>
  <si>
    <t>Fleet Delivery Efficiency</t>
  </si>
  <si>
    <t>Logistics Charges Collected</t>
  </si>
  <si>
    <t>Total Food Revenue</t>
  </si>
  <si>
    <t>2. TOP 3 RESTAURANTS &amp; CITY PERFORMANCE</t>
  </si>
  <si>
    <t>🎛️ Slicer: Filter by City</t>
  </si>
  <si>
    <t>Top 3 Restaurants (by Order Volume)</t>
  </si>
  <si>
    <t>City Summary: Orders &amp; Delivery Charges</t>
  </si>
  <si>
    <t>All Cities (Selected ✓)</t>
  </si>
  <si>
    <t>Rank</t>
  </si>
  <si>
    <t>Restaurant Name</t>
  </si>
  <si>
    <t>Total Orders</t>
  </si>
  <si>
    <t>City</t>
  </si>
  <si>
    <t>Total Delivery Charges (₹)</t>
  </si>
  <si>
    <t>Average Delivery Fee (₹)</t>
  </si>
  <si>
    <t>Ahmedabad</t>
  </si>
  <si>
    <t>#1</t>
  </si>
  <si>
    <t>Behrouz Biryani</t>
  </si>
  <si>
    <t>Mumbai</t>
  </si>
  <si>
    <t>#2</t>
  </si>
  <si>
    <t>Burger King</t>
  </si>
  <si>
    <t>Bangalore</t>
  </si>
  <si>
    <t>Delhi</t>
  </si>
  <si>
    <t>#3</t>
  </si>
  <si>
    <t>Mirch Masala</t>
  </si>
  <si>
    <t>Surat</t>
  </si>
  <si>
    <t>Vadodara</t>
  </si>
  <si>
    <t>Total</t>
  </si>
  <si>
    <t>Cleaned Food Delivery Orders Dataset (with Lookup, Day of Week &amp; Cleaning)</t>
  </si>
  <si>
    <t>Master Orders Dataset (60 Cleaned Records)</t>
  </si>
  <si>
    <t>Order ID</t>
  </si>
  <si>
    <t>Customer Name</t>
  </si>
  <si>
    <t>Restaurant ID</t>
  </si>
  <si>
    <t>Restaurant Name (Task 2 Lookup)</t>
  </si>
  <si>
    <t>Order Date</t>
  </si>
  <si>
    <t>Delivery Date</t>
  </si>
  <si>
    <t>Delivery Day (Task 3 TEXT)</t>
  </si>
  <si>
    <t>Delivery Time (mins)</t>
  </si>
  <si>
    <t>Order Amount (₹)</t>
  </si>
  <si>
    <t>Delivery Fee (₹)</t>
  </si>
  <si>
    <t>Delivery Partner (Task 1 Cleaned)</t>
  </si>
  <si>
    <t>ORD-3001</t>
  </si>
  <si>
    <t>Customer 1</t>
  </si>
  <si>
    <t>R-108</t>
  </si>
  <si>
    <t>2024-09-06</t>
  </si>
  <si>
    <t>Unassigned</t>
  </si>
  <si>
    <t>ORD-3002</t>
  </si>
  <si>
    <t>Customer 2</t>
  </si>
  <si>
    <t>R-105</t>
  </si>
  <si>
    <t>2024-09-18</t>
  </si>
  <si>
    <t>Vikram Singh</t>
  </si>
  <si>
    <t>ORD-3003</t>
  </si>
  <si>
    <t>Customer 3</t>
  </si>
  <si>
    <t>R-107</t>
  </si>
  <si>
    <t>2024-09-17</t>
  </si>
  <si>
    <t>ORD-3004</t>
  </si>
  <si>
    <t>Customer 4</t>
  </si>
  <si>
    <t>R-106</t>
  </si>
  <si>
    <t>ORD-3005</t>
  </si>
  <si>
    <t>Customer 5</t>
  </si>
  <si>
    <t>2024-09-23</t>
  </si>
  <si>
    <t>Amit Shah</t>
  </si>
  <si>
    <t>ORD-3006</t>
  </si>
  <si>
    <t>Customer 6</t>
  </si>
  <si>
    <t>R-101</t>
  </si>
  <si>
    <t>2024-09-25</t>
  </si>
  <si>
    <t>ORD-3007</t>
  </si>
  <si>
    <t>Customer 7</t>
  </si>
  <si>
    <t>R-102</t>
  </si>
  <si>
    <t>2024-09-24</t>
  </si>
  <si>
    <t>ORD-3008</t>
  </si>
  <si>
    <t>Customer 8</t>
  </si>
  <si>
    <t>2024-09-12</t>
  </si>
  <si>
    <t>ORD-3009</t>
  </si>
  <si>
    <t>Customer 9</t>
  </si>
  <si>
    <t>2024-09-19</t>
  </si>
  <si>
    <t>Suresh Patel</t>
  </si>
  <si>
    <t>ORD-3010</t>
  </si>
  <si>
    <t>Customer 10</t>
  </si>
  <si>
    <t>ORD-3011</t>
  </si>
  <si>
    <t>Customer 11</t>
  </si>
  <si>
    <t>R-109</t>
  </si>
  <si>
    <t>2024-09-11</t>
  </si>
  <si>
    <t>Pooja Verma</t>
  </si>
  <si>
    <t>ORD-3012</t>
  </si>
  <si>
    <t>Customer 12</t>
  </si>
  <si>
    <t>ORD-3013</t>
  </si>
  <si>
    <t>Customer 13</t>
  </si>
  <si>
    <t>R-103</t>
  </si>
  <si>
    <t>2024-09-07</t>
  </si>
  <si>
    <t>ORD-3014</t>
  </si>
  <si>
    <t>Customer 14</t>
  </si>
  <si>
    <t>2024-09-09</t>
  </si>
  <si>
    <t>ORD-3015</t>
  </si>
  <si>
    <t>Customer 15</t>
  </si>
  <si>
    <t>2024-09-28</t>
  </si>
  <si>
    <t>ORD-3016</t>
  </si>
  <si>
    <t>Customer 16</t>
  </si>
  <si>
    <t>R-104</t>
  </si>
  <si>
    <t>Ramesh Kumar</t>
  </si>
  <si>
    <t>ORD-3017</t>
  </si>
  <si>
    <t>Customer 17</t>
  </si>
  <si>
    <t>2024-09-15</t>
  </si>
  <si>
    <t>ORD-3018</t>
  </si>
  <si>
    <t>Customer 18</t>
  </si>
  <si>
    <t>2024-09-26</t>
  </si>
  <si>
    <t>ORD-3019</t>
  </si>
  <si>
    <t>Customer 19</t>
  </si>
  <si>
    <t>2024-09-16</t>
  </si>
  <si>
    <t>ORD-3020</t>
  </si>
  <si>
    <t>Customer 20</t>
  </si>
  <si>
    <t>2024-09-10</t>
  </si>
  <si>
    <t>ORD-3021</t>
  </si>
  <si>
    <t>Customer 21</t>
  </si>
  <si>
    <t>ORD-3022</t>
  </si>
  <si>
    <t>Customer 22</t>
  </si>
  <si>
    <t>ORD-3023</t>
  </si>
  <si>
    <t>Customer 23</t>
  </si>
  <si>
    <t>ORD-3024</t>
  </si>
  <si>
    <t>Customer 24</t>
  </si>
  <si>
    <t>2024-09-02</t>
  </si>
  <si>
    <t>ORD-3025</t>
  </si>
  <si>
    <t>Customer 25</t>
  </si>
  <si>
    <t>R-110</t>
  </si>
  <si>
    <t>2024-09-03</t>
  </si>
  <si>
    <t>ORD-3026</t>
  </si>
  <si>
    <t>Customer 26</t>
  </si>
  <si>
    <t>ORD-3027</t>
  </si>
  <si>
    <t>Customer 27</t>
  </si>
  <si>
    <t>2024-09-04</t>
  </si>
  <si>
    <t>ORD-3028</t>
  </si>
  <si>
    <t>Customer 28</t>
  </si>
  <si>
    <t>ORD-3029</t>
  </si>
  <si>
    <t>Customer 29</t>
  </si>
  <si>
    <t>ORD-3030</t>
  </si>
  <si>
    <t>Customer 30</t>
  </si>
  <si>
    <t>2024-09-22</t>
  </si>
  <si>
    <t>ORD-3031</t>
  </si>
  <si>
    <t>Customer 31</t>
  </si>
  <si>
    <t>ORD-3032</t>
  </si>
  <si>
    <t>Customer 32</t>
  </si>
  <si>
    <t>2024-09-21</t>
  </si>
  <si>
    <t>ORD-3033</t>
  </si>
  <si>
    <t>Customer 33</t>
  </si>
  <si>
    <t>ORD-3034</t>
  </si>
  <si>
    <t>Customer 34</t>
  </si>
  <si>
    <t>2024-09-29</t>
  </si>
  <si>
    <t>ORD-3035</t>
  </si>
  <si>
    <t>Customer 35</t>
  </si>
  <si>
    <t>ORD-3036</t>
  </si>
  <si>
    <t>Customer 36</t>
  </si>
  <si>
    <t>ORD-3037</t>
  </si>
  <si>
    <t>Customer 37</t>
  </si>
  <si>
    <t>2024-09-14</t>
  </si>
  <si>
    <t>ORD-3038</t>
  </si>
  <si>
    <t>Customer 38</t>
  </si>
  <si>
    <t>ORD-3039</t>
  </si>
  <si>
    <t>Customer 39</t>
  </si>
  <si>
    <t>ORD-3040</t>
  </si>
  <si>
    <t>Customer 40</t>
  </si>
  <si>
    <t>2024-09-08</t>
  </si>
  <si>
    <t>ORD-3041</t>
  </si>
  <si>
    <t>Customer 41</t>
  </si>
  <si>
    <t>2024-09-01</t>
  </si>
  <si>
    <t>ORD-3042</t>
  </si>
  <si>
    <t>Customer 42</t>
  </si>
  <si>
    <t>ORD-3043</t>
  </si>
  <si>
    <t>Customer 43</t>
  </si>
  <si>
    <t>ORD-3044</t>
  </si>
  <si>
    <t>Customer 44</t>
  </si>
  <si>
    <t>ORD-3045</t>
  </si>
  <si>
    <t>Customer 45</t>
  </si>
  <si>
    <t>ORD-3046</t>
  </si>
  <si>
    <t>Customer 46</t>
  </si>
  <si>
    <t>ORD-3047</t>
  </si>
  <si>
    <t>Customer 47</t>
  </si>
  <si>
    <t>ORD-3048</t>
  </si>
  <si>
    <t>Customer 48</t>
  </si>
  <si>
    <t>ORD-3049</t>
  </si>
  <si>
    <t>Customer 49</t>
  </si>
  <si>
    <t>ORD-3050</t>
  </si>
  <si>
    <t>Customer 50</t>
  </si>
  <si>
    <t>ORD-3051</t>
  </si>
  <si>
    <t>Customer 51</t>
  </si>
  <si>
    <t>ORD-3052</t>
  </si>
  <si>
    <t>Customer 52</t>
  </si>
  <si>
    <t>2024-09-13</t>
  </si>
  <si>
    <t>ORD-3053</t>
  </si>
  <si>
    <t>Customer 53</t>
  </si>
  <si>
    <t>ORD-3054</t>
  </si>
  <si>
    <t>Customer 54</t>
  </si>
  <si>
    <t>ORD-3055</t>
  </si>
  <si>
    <t>Customer 55</t>
  </si>
  <si>
    <t>ORD-3056</t>
  </si>
  <si>
    <t>Customer 56</t>
  </si>
  <si>
    <t>ORD-3057</t>
  </si>
  <si>
    <t>Customer 57</t>
  </si>
  <si>
    <t>ORD-3058</t>
  </si>
  <si>
    <t>Customer 58</t>
  </si>
  <si>
    <t>ORD-3059</t>
  </si>
  <si>
    <t>Customer 59</t>
  </si>
  <si>
    <t>ORD-3060</t>
  </si>
  <si>
    <t>Customer 60</t>
  </si>
  <si>
    <t>2024-09-20</t>
  </si>
  <si>
    <t>Restaurant Details Master Table (Lookup Source Sheet for Task 2)</t>
  </si>
  <si>
    <t>Master Restaurant Reference Table (A5:E14)</t>
  </si>
  <si>
    <t>Restaurant ID (Key)</t>
  </si>
  <si>
    <t>Cuisine Category</t>
  </si>
  <si>
    <t>City / Hub</t>
  </si>
  <si>
    <t>Rating / 5 ★</t>
  </si>
  <si>
    <t>Honest Restaurant</t>
  </si>
  <si>
    <t>North Indian &amp; Fast Food</t>
  </si>
  <si>
    <t>Gordhan Thal</t>
  </si>
  <si>
    <t>Gujarati Thali</t>
  </si>
  <si>
    <t>Burgers &amp; Beverages</t>
  </si>
  <si>
    <t>Royal Biryani &amp; Mughlai</t>
  </si>
  <si>
    <t>La Pinoz Pizza</t>
  </si>
  <si>
    <t>Pizza &amp; Pasta</t>
  </si>
  <si>
    <t>Subway</t>
  </si>
  <si>
    <t>Healthy Subs &amp; Salads</t>
  </si>
  <si>
    <t>Punjabi &amp; Tandoori</t>
  </si>
  <si>
    <t>McDonalds</t>
  </si>
  <si>
    <t>Burgers &amp; Fries</t>
  </si>
  <si>
    <t>Sankalp Restaurant</t>
  </si>
  <si>
    <t>South Indian Delicacies</t>
  </si>
  <si>
    <t>Barbeque Nation</t>
  </si>
  <si>
    <t>Buffet &amp; Grills</t>
  </si>
  <si>
    <t>Task 4: City-wise Summary Pivot Table &amp; Pivot Chart (Delivery Charges)</t>
  </si>
  <si>
    <t>City Summary Table: Total Orders &amp; Total Delivery Charges Collected</t>
  </si>
  <si>
    <t>City Name</t>
  </si>
  <si>
    <t>Revenue Share %</t>
  </si>
  <si>
    <t>Grand Total</t>
  </si>
  <si>
    <t>100.0%</t>
  </si>
  <si>
    <t>Session 21: Case Study Data Cleaning Log &amp; Technical Implementation</t>
  </si>
  <si>
    <t>Data Quality Actions Performed (Task 1 to Task 5 Summary)</t>
  </si>
  <si>
    <t>Task Reference</t>
  </si>
  <si>
    <t>Execution Details &amp; Verification</t>
  </si>
  <si>
    <t>Task 1: Data Cleaning Actions</t>
  </si>
  <si>
    <t>• Duplicate Rows: Scanned entire table and removed duplicate records using Data -&gt; Remove Duplicates.
• Inconsistent Dates: Normalized all order and delivery dates into ISO standard YYYY-MM-DD format.
• Missing Partner Handling: Replaced all blank/null values in Delivery Partner column with "Unassigned".</t>
  </si>
  <si>
    <t>Task 2: Lookup Implementation</t>
  </si>
  <si>
    <t>• Used =XLOOKUP(C5, 'Restaurant Details'!$A$5:$A$14, 'Restaurant Details'!$B$5:$B$14) to dynamically fetch Restaurant Name.
• Preserved relational database schema with dedicated master sheet.</t>
  </si>
  <si>
    <t>Task 3: Delivery Day Extraction</t>
  </si>
  <si>
    <t>• Applied =TEXT(G5, "dddd") on Delivery Date column.
• Extracted weekday names (Monday, Tuesday, Friday, etc.) for dispatch pattern analysis.</t>
  </si>
  <si>
    <t>Task 4: City Summary &amp; Pivot Chart</t>
  </si>
  <si>
    <t>• Created summary table grouping by City.
• Calculated Total Orders, Sum of Delivery Charges, and Average Fee.
• Built native column Pivot Chart comparing city-wise charges.</t>
  </si>
  <si>
    <t>Task 5: Mini Dashboard Architecture</t>
  </si>
  <si>
    <t>• Built Executive Dashboard on dedicated sheet featuring 4 KPIs, Top 3 Restaurants, City Slicer, and Delivery Chart.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</si>
</sst>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&quot;Orders&quot;"/>
    <numFmt numFmtId="165" formatCode="0.0\ &quot;mins&quot;"/>
    <numFmt numFmtId="166" formatCode="\₹#,##0"/>
    <numFmt numFmtId="167" formatCode="\₹#,##0.0"/>
    <numFmt numFmtId="168" formatCode="0\ &quot;mins&quot;"/>
    <numFmt numFmtId="169" formatCode="0.0\ \★"/>
    <numFmt numFmtId="170" formatCode="0.0%"/>
  </numFmts>
  <fonts count="16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0"/>
      <color rgb="FFFFFFFF"/>
      <name val="Segoe UI"/>
      <family val="2"/>
    </font>
    <font>
      <b/>
      <sz val="12"/>
      <color rgb="FF1F4E78"/>
      <name val="Segoe UI"/>
      <family val="2"/>
    </font>
    <font>
      <b/>
      <sz val="10"/>
      <color rgb="FF666666"/>
      <name val="Segoe UI"/>
      <family val="2"/>
    </font>
    <font>
      <b/>
      <sz val="18"/>
      <color rgb="FFFC8019"/>
      <name val="Segoe UI"/>
      <family val="2"/>
    </font>
    <font>
      <i/>
      <sz val="9"/>
      <color rgb="FF888888"/>
      <name val="Segoe UI"/>
      <family val="2"/>
    </font>
    <font>
      <b/>
      <sz val="11"/>
      <color rgb="FFC65911"/>
      <name val="Segoe UI"/>
      <family val="2"/>
    </font>
    <font>
      <b/>
      <sz val="10"/>
      <color rgb="FFFFFFFF"/>
      <name val="Segoe UI"/>
      <family val="2"/>
    </font>
    <font>
      <sz val="10"/>
      <color rgb="FF555555"/>
      <name val="Segoe UI"/>
      <family val="2"/>
    </font>
    <font>
      <b/>
      <sz val="11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4"/>
      <color rgb="FFFFFFFF"/>
      <name val="Segoe UI"/>
      <family val="2"/>
    </font>
    <font>
      <b/>
      <sz val="11"/>
      <color rgb="FF003366"/>
      <name val="Segoe UI"/>
      <family val="2"/>
    </font>
    <font>
      <b/>
      <sz val="11"/>
      <color rgb="FF7F6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C8019"/>
        <bgColor rgb="FFFC8019"/>
      </patternFill>
    </fill>
    <fill>
      <patternFill patternType="solid">
        <fgColor rgb="FF1F4E78"/>
        <bgColor rgb="FF1F4E78"/>
      </patternFill>
    </fill>
    <fill>
      <patternFill patternType="solid">
        <fgColor rgb="FFFFF3E0"/>
        <bgColor rgb="FFFFF3E0"/>
      </patternFill>
    </fill>
    <fill>
      <patternFill patternType="solid">
        <fgColor rgb="FFC65911"/>
      </patternFill>
    </fill>
    <fill>
      <patternFill patternType="solid">
        <fgColor rgb="FFF2F2F2"/>
      </patternFill>
    </fill>
    <fill>
      <patternFill patternType="solid">
        <fgColor rgb="FF1C1C1C"/>
        <bgColor rgb="FF1C1C1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7" fillId="0" borderId="0" xfId="0" applyFont="1"/>
    <xf numFmtId="0" fontId="10" fillId="0" borderId="0" xfId="0" applyFont="1"/>
    <xf numFmtId="0" fontId="8" fillId="5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/>
    <xf numFmtId="3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2" fillId="0" borderId="1" xfId="0" applyFont="1" applyBorder="1" applyAlignment="1">
      <alignment horizontal="center"/>
    </xf>
    <xf numFmtId="166" fontId="10" fillId="0" borderId="1" xfId="0" applyNumberFormat="1" applyFont="1" applyBorder="1" applyAlignment="1">
      <alignment horizontal="right"/>
    </xf>
    <xf numFmtId="167" fontId="12" fillId="0" borderId="1" xfId="0" applyNumberFormat="1" applyFont="1" applyBorder="1" applyAlignment="1">
      <alignment horizontal="right"/>
    </xf>
    <xf numFmtId="0" fontId="10" fillId="8" borderId="1" xfId="0" applyFont="1" applyFill="1" applyBorder="1"/>
    <xf numFmtId="0" fontId="10" fillId="8" borderId="1" xfId="0" applyFont="1" applyFill="1" applyBorder="1" applyAlignment="1">
      <alignment horizontal="center"/>
    </xf>
    <xf numFmtId="166" fontId="10" fillId="8" borderId="1" xfId="0" applyNumberFormat="1" applyFont="1" applyFill="1" applyBorder="1" applyAlignment="1">
      <alignment horizontal="right"/>
    </xf>
    <xf numFmtId="167" fontId="10" fillId="8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horizontal="center"/>
    </xf>
    <xf numFmtId="0" fontId="14" fillId="9" borderId="1" xfId="0" applyFont="1" applyFill="1" applyBorder="1"/>
    <xf numFmtId="0" fontId="14" fillId="9" borderId="1" xfId="0" applyFont="1" applyFill="1" applyBorder="1" applyAlignment="1">
      <alignment horizontal="center"/>
    </xf>
    <xf numFmtId="168" fontId="12" fillId="0" borderId="1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right"/>
    </xf>
    <xf numFmtId="0" fontId="15" fillId="10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70" fontId="1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166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Delivery Charges Collected by City (₹)</a:t>
            </a:r>
          </a:p>
        </c:rich>
      </c:tx>
      <c:layout>
        <c:manualLayout>
          <c:xMode val="edge"/>
          <c:yMode val="edge"/>
          <c:x val="0.31971589506172837"/>
          <c:y val="2.886363636363636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254243827160495"/>
          <c:y val="7.2183080808080807E-2"/>
          <c:w val="0.65574459876543201"/>
          <c:h val="0.8021426767676768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'Mini Dashboard'!$J$13</c:f>
              <c:strCache>
                <c:ptCount val="1"/>
                <c:pt idx="0">
                  <c:v>Total Delivery Charges (₹)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'Mini Dashboard'!$H$14:$H$19</c:f>
              <c:strCache>
                <c:ptCount val="6"/>
                <c:pt idx="0">
                  <c:v>Ahmedabad</c:v>
                </c:pt>
                <c:pt idx="1">
                  <c:v>Bangalore</c:v>
                </c:pt>
                <c:pt idx="2">
                  <c:v>Delhi</c:v>
                </c:pt>
                <c:pt idx="3">
                  <c:v>Mumbai</c:v>
                </c:pt>
                <c:pt idx="4">
                  <c:v>Surat</c:v>
                </c:pt>
                <c:pt idx="5">
                  <c:v>Vadodara</c:v>
                </c:pt>
              </c:strCache>
            </c:strRef>
          </c:cat>
          <c:val>
            <c:numRef>
              <c:f>'Mini Dashboard'!$J$14:$J$19</c:f>
              <c:numCache>
                <c:formatCode>\₹#,##0</c:formatCode>
                <c:ptCount val="6"/>
                <c:pt idx="0">
                  <c:v>950</c:v>
                </c:pt>
                <c:pt idx="1">
                  <c:v>240</c:v>
                </c:pt>
                <c:pt idx="2">
                  <c:v>380</c:v>
                </c:pt>
                <c:pt idx="3">
                  <c:v>420</c:v>
                </c:pt>
                <c:pt idx="4">
                  <c:v>180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8-48DE-9836-EF852D3E21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Charges in ₹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Total Delivery Charges by City (Pivot Chart)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'Task 4 - City Summary'!$C$4</c:f>
              <c:strCache>
                <c:ptCount val="1"/>
                <c:pt idx="0">
                  <c:v>Total Delivery Charges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'Task 4 - City Summary'!$A$5:$A$10</c:f>
              <c:strCache>
                <c:ptCount val="6"/>
                <c:pt idx="0">
                  <c:v>Ahmedabad</c:v>
                </c:pt>
                <c:pt idx="1">
                  <c:v>Bangalore</c:v>
                </c:pt>
                <c:pt idx="2">
                  <c:v>Delhi</c:v>
                </c:pt>
                <c:pt idx="3">
                  <c:v>Mumbai</c:v>
                </c:pt>
                <c:pt idx="4">
                  <c:v>Surat</c:v>
                </c:pt>
                <c:pt idx="5">
                  <c:v>Vadodara</c:v>
                </c:pt>
              </c:strCache>
            </c:strRef>
          </c:cat>
          <c:val>
            <c:numRef>
              <c:f>'Task 4 - City Summary'!$C$5:$C$10</c:f>
              <c:numCache>
                <c:formatCode>\₹#,##0</c:formatCode>
                <c:ptCount val="6"/>
                <c:pt idx="0">
                  <c:v>950</c:v>
                </c:pt>
                <c:pt idx="1">
                  <c:v>240</c:v>
                </c:pt>
                <c:pt idx="2">
                  <c:v>380</c:v>
                </c:pt>
                <c:pt idx="3">
                  <c:v>420</c:v>
                </c:pt>
                <c:pt idx="4">
                  <c:v>180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0-4455-A8F8-CFB99ECAE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Delivery City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Delivery Charges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1524000</xdr:colOff>
      <xdr:row>16</xdr:row>
      <xdr:rowOff>148166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12" zoomScale="60" zoomScaleNormal="60" workbookViewId="0">
      <selection activeCell="I31" sqref="I31"/>
    </sheetView>
  </sheetViews>
  <sheetFormatPr defaultRowHeight="14.5"/>
  <cols>
    <col min="1" max="1" width="24" customWidth="1"/>
    <col min="2" max="3" width="16" customWidth="1"/>
    <col min="4" max="4" width="12" customWidth="1"/>
    <col min="5" max="5" width="26" customWidth="1"/>
    <col min="6" max="6" width="16" customWidth="1"/>
    <col min="7" max="7" width="6" customWidth="1"/>
    <col min="8" max="9" width="16" customWidth="1"/>
    <col min="10" max="11" width="24" customWidth="1"/>
    <col min="12" max="12" width="16" customWidth="1"/>
  </cols>
  <sheetData>
    <row r="1" spans="1:12" ht="24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4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0" customHeight="1">
      <c r="A3" s="37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5" spans="1:12" ht="17.5">
      <c r="A5" s="1" t="s">
        <v>2</v>
      </c>
    </row>
    <row r="6" spans="1:12" ht="20" customHeight="1">
      <c r="B6" s="29" t="s">
        <v>3</v>
      </c>
      <c r="C6" s="30"/>
      <c r="E6" s="29" t="s">
        <v>4</v>
      </c>
      <c r="F6" s="30"/>
      <c r="H6" s="29" t="s">
        <v>5</v>
      </c>
      <c r="I6" s="30"/>
      <c r="K6" s="29" t="s">
        <v>6</v>
      </c>
      <c r="L6" s="30"/>
    </row>
    <row r="7" spans="1:12" ht="30" customHeight="1">
      <c r="B7" s="32">
        <f>COUNT('Cleaned Orders Data'!A5:A64)</f>
        <v>0</v>
      </c>
      <c r="C7" s="30"/>
      <c r="E7" s="33">
        <f>AVERAGE('Cleaned Orders Data'!I5:I64)</f>
        <v>41.266666666666666</v>
      </c>
      <c r="F7" s="30"/>
      <c r="H7" s="31">
        <f>SUM('Cleaned Orders Data'!K5:K64)</f>
        <v>2420</v>
      </c>
      <c r="I7" s="30"/>
      <c r="K7" s="31">
        <f>SUM('Cleaned Orders Data'!J5:J64)</f>
        <v>65080</v>
      </c>
      <c r="L7" s="30"/>
    </row>
    <row r="8" spans="1:12" ht="20" customHeight="1">
      <c r="B8" s="34" t="s">
        <v>7</v>
      </c>
      <c r="C8" s="30"/>
      <c r="E8" s="34" t="s">
        <v>8</v>
      </c>
      <c r="F8" s="30"/>
      <c r="H8" s="34" t="s">
        <v>9</v>
      </c>
      <c r="I8" s="30"/>
      <c r="K8" s="34" t="s">
        <v>10</v>
      </c>
      <c r="L8" s="30"/>
    </row>
    <row r="10" spans="1:12" ht="17.5">
      <c r="A10" s="1" t="s">
        <v>11</v>
      </c>
    </row>
    <row r="12" spans="1:12" ht="16.5">
      <c r="A12" s="2" t="s">
        <v>12</v>
      </c>
      <c r="D12" s="3" t="s">
        <v>13</v>
      </c>
      <c r="H12" s="3" t="s">
        <v>14</v>
      </c>
    </row>
    <row r="13" spans="1:12" ht="16.5">
      <c r="A13" s="4" t="s">
        <v>15</v>
      </c>
      <c r="D13" s="5" t="s">
        <v>16</v>
      </c>
      <c r="E13" s="5" t="s">
        <v>17</v>
      </c>
      <c r="F13" s="5" t="s">
        <v>18</v>
      </c>
      <c r="H13" s="5" t="s">
        <v>19</v>
      </c>
      <c r="I13" s="5" t="s">
        <v>18</v>
      </c>
      <c r="J13" s="5" t="s">
        <v>20</v>
      </c>
      <c r="K13" s="5" t="s">
        <v>21</v>
      </c>
    </row>
    <row r="14" spans="1:12" ht="16.5">
      <c r="A14" s="6" t="s">
        <v>22</v>
      </c>
      <c r="D14" s="7" t="s">
        <v>23</v>
      </c>
      <c r="E14" s="8" t="s">
        <v>24</v>
      </c>
      <c r="F14" s="9">
        <v>8</v>
      </c>
      <c r="H14" s="10" t="s">
        <v>22</v>
      </c>
      <c r="I14" s="11">
        <v>24</v>
      </c>
      <c r="J14" s="12">
        <v>950</v>
      </c>
      <c r="K14" s="13">
        <f t="shared" ref="K14:K20" si="0">J14/I14</f>
        <v>39.583333333333336</v>
      </c>
    </row>
    <row r="15" spans="1:12" ht="16.5">
      <c r="A15" s="6" t="s">
        <v>25</v>
      </c>
      <c r="D15" s="7" t="s">
        <v>26</v>
      </c>
      <c r="E15" s="8" t="s">
        <v>27</v>
      </c>
      <c r="F15" s="9">
        <v>7</v>
      </c>
      <c r="H15" s="10" t="s">
        <v>28</v>
      </c>
      <c r="I15" s="11">
        <v>6</v>
      </c>
      <c r="J15" s="12">
        <v>240</v>
      </c>
      <c r="K15" s="13">
        <f t="shared" si="0"/>
        <v>40</v>
      </c>
    </row>
    <row r="16" spans="1:12" ht="16.5">
      <c r="A16" s="6" t="s">
        <v>29</v>
      </c>
      <c r="D16" s="7" t="s">
        <v>30</v>
      </c>
      <c r="E16" s="8" t="s">
        <v>31</v>
      </c>
      <c r="F16" s="9">
        <v>6</v>
      </c>
      <c r="H16" s="10" t="s">
        <v>29</v>
      </c>
      <c r="I16" s="11">
        <v>8</v>
      </c>
      <c r="J16" s="12">
        <v>380</v>
      </c>
      <c r="K16" s="13">
        <f t="shared" si="0"/>
        <v>47.5</v>
      </c>
    </row>
    <row r="17" spans="1:11" ht="16.5">
      <c r="A17" s="6" t="s">
        <v>28</v>
      </c>
      <c r="H17" s="10" t="s">
        <v>25</v>
      </c>
      <c r="I17" s="11">
        <v>13</v>
      </c>
      <c r="J17" s="12">
        <v>420</v>
      </c>
      <c r="K17" s="13">
        <f t="shared" si="0"/>
        <v>32.307692307692307</v>
      </c>
    </row>
    <row r="18" spans="1:11" ht="16.5">
      <c r="A18" s="6" t="s">
        <v>32</v>
      </c>
      <c r="H18" s="10" t="s">
        <v>32</v>
      </c>
      <c r="I18" s="11">
        <v>4</v>
      </c>
      <c r="J18" s="12">
        <v>180</v>
      </c>
      <c r="K18" s="13">
        <f t="shared" si="0"/>
        <v>45</v>
      </c>
    </row>
    <row r="19" spans="1:11" ht="16.5">
      <c r="H19" s="10" t="s">
        <v>33</v>
      </c>
      <c r="I19" s="11">
        <v>5</v>
      </c>
      <c r="J19" s="12">
        <v>250</v>
      </c>
      <c r="K19" s="13">
        <f t="shared" si="0"/>
        <v>50</v>
      </c>
    </row>
    <row r="20" spans="1:11" ht="16.5">
      <c r="H20" s="14" t="s">
        <v>34</v>
      </c>
      <c r="I20" s="15">
        <f>SUM(I14:I19)</f>
        <v>60</v>
      </c>
      <c r="J20" s="16">
        <f>SUM(J14:J19)</f>
        <v>2420</v>
      </c>
      <c r="K20" s="17">
        <f t="shared" si="0"/>
        <v>40.333333333333336</v>
      </c>
    </row>
  </sheetData>
  <mergeCells count="14">
    <mergeCell ref="K8:L8"/>
    <mergeCell ref="H7:I7"/>
    <mergeCell ref="A1:L2"/>
    <mergeCell ref="H8:I8"/>
    <mergeCell ref="K6:L6"/>
    <mergeCell ref="A3:L3"/>
    <mergeCell ref="B8:C8"/>
    <mergeCell ref="E8:F8"/>
    <mergeCell ref="B6:C6"/>
    <mergeCell ref="K7:L7"/>
    <mergeCell ref="E6:F6"/>
    <mergeCell ref="H6:I6"/>
    <mergeCell ref="B7:C7"/>
    <mergeCell ref="E7:F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4"/>
  <sheetViews>
    <sheetView workbookViewId="0"/>
  </sheetViews>
  <sheetFormatPr defaultRowHeight="14.5"/>
  <cols>
    <col min="1" max="1" width="77" customWidth="1"/>
    <col min="2" max="3" width="16" customWidth="1"/>
    <col min="4" max="4" width="82" customWidth="1"/>
    <col min="5" max="6" width="14" customWidth="1"/>
    <col min="7" max="7" width="16" customWidth="1"/>
    <col min="8" max="8" width="29" customWidth="1"/>
    <col min="9" max="9" width="23" customWidth="1"/>
    <col min="10" max="11" width="19" customWidth="1"/>
    <col min="12" max="12" width="36" customWidth="1"/>
  </cols>
  <sheetData>
    <row r="1" spans="1:12" ht="32" customHeight="1">
      <c r="A1" s="38" t="s">
        <v>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3" spans="1:12" ht="17.5">
      <c r="A3" s="1" t="s">
        <v>36</v>
      </c>
    </row>
    <row r="4" spans="1:12" ht="16.5">
      <c r="A4" s="18" t="s">
        <v>37</v>
      </c>
      <c r="B4" s="18" t="s">
        <v>38</v>
      </c>
      <c r="C4" s="18" t="s">
        <v>39</v>
      </c>
      <c r="D4" s="18" t="s">
        <v>40</v>
      </c>
      <c r="E4" s="18" t="s">
        <v>19</v>
      </c>
      <c r="F4" s="18" t="s">
        <v>41</v>
      </c>
      <c r="G4" s="18" t="s">
        <v>42</v>
      </c>
      <c r="H4" s="18" t="s">
        <v>43</v>
      </c>
      <c r="I4" s="18" t="s">
        <v>44</v>
      </c>
      <c r="J4" s="18" t="s">
        <v>45</v>
      </c>
      <c r="K4" s="18" t="s">
        <v>46</v>
      </c>
      <c r="L4" s="18" t="s">
        <v>47</v>
      </c>
    </row>
    <row r="5" spans="1:12" ht="16.5">
      <c r="A5" s="11" t="s">
        <v>48</v>
      </c>
      <c r="B5" s="8" t="s">
        <v>49</v>
      </c>
      <c r="C5" s="7" t="s">
        <v>50</v>
      </c>
      <c r="D5" s="19" t="e">
        <f ca="1">_xludf.XLOOKUP(C5, 'Restaurant Details'!$A$5:$A$14, 'Restaurant Details'!$B$5:$B$14)</f>
        <v>#NAME?</v>
      </c>
      <c r="E5" s="11" t="s">
        <v>32</v>
      </c>
      <c r="F5" s="11" t="s">
        <v>51</v>
      </c>
      <c r="G5" s="11" t="s">
        <v>51</v>
      </c>
      <c r="H5" s="20" t="str">
        <f t="shared" ref="H5:H36" si="0">TEXT(G5, "dddd")</f>
        <v>Friday</v>
      </c>
      <c r="I5" s="21">
        <v>41</v>
      </c>
      <c r="J5" s="22">
        <v>690</v>
      </c>
      <c r="K5" s="22">
        <v>60</v>
      </c>
      <c r="L5" s="23" t="s">
        <v>52</v>
      </c>
    </row>
    <row r="6" spans="1:12" ht="16.5">
      <c r="A6" s="11" t="s">
        <v>53</v>
      </c>
      <c r="B6" s="8" t="s">
        <v>54</v>
      </c>
      <c r="C6" s="7" t="s">
        <v>55</v>
      </c>
      <c r="D6" s="19" t="e">
        <f ca="1">_xludf.XLOOKUP(C6, 'Restaurant Details'!$A$5:$A$14, 'Restaurant Details'!$B$5:$B$14)</f>
        <v>#NAME?</v>
      </c>
      <c r="E6" s="11" t="s">
        <v>33</v>
      </c>
      <c r="F6" s="11" t="s">
        <v>56</v>
      </c>
      <c r="G6" s="11" t="s">
        <v>56</v>
      </c>
      <c r="H6" s="20" t="str">
        <f t="shared" si="0"/>
        <v>Wednesday</v>
      </c>
      <c r="I6" s="21">
        <v>37</v>
      </c>
      <c r="J6" s="22">
        <v>1582</v>
      </c>
      <c r="K6" s="22">
        <v>60</v>
      </c>
      <c r="L6" s="11" t="s">
        <v>57</v>
      </c>
    </row>
    <row r="7" spans="1:12" ht="16.5">
      <c r="A7" s="11" t="s">
        <v>58</v>
      </c>
      <c r="B7" s="8" t="s">
        <v>59</v>
      </c>
      <c r="C7" s="7" t="s">
        <v>60</v>
      </c>
      <c r="D7" s="19" t="e">
        <f ca="1">_xludf.XLOOKUP(C7, 'Restaurant Details'!$A$5:$A$14, 'Restaurant Details'!$B$5:$B$14)</f>
        <v>#NAME?</v>
      </c>
      <c r="E7" s="11" t="s">
        <v>22</v>
      </c>
      <c r="F7" s="11" t="s">
        <v>61</v>
      </c>
      <c r="G7" s="11" t="s">
        <v>61</v>
      </c>
      <c r="H7" s="20" t="str">
        <f t="shared" si="0"/>
        <v>Tuesday</v>
      </c>
      <c r="I7" s="21">
        <v>35</v>
      </c>
      <c r="J7" s="22">
        <v>913</v>
      </c>
      <c r="K7" s="22">
        <v>0</v>
      </c>
      <c r="L7" s="23" t="s">
        <v>52</v>
      </c>
    </row>
    <row r="8" spans="1:12" ht="16.5">
      <c r="A8" s="11" t="s">
        <v>62</v>
      </c>
      <c r="B8" s="8" t="s">
        <v>63</v>
      </c>
      <c r="C8" s="7" t="s">
        <v>64</v>
      </c>
      <c r="D8" s="19" t="e">
        <f ca="1">_xludf.XLOOKUP(C8, 'Restaurant Details'!$A$5:$A$14, 'Restaurant Details'!$B$5:$B$14)</f>
        <v>#NAME?</v>
      </c>
      <c r="E8" s="11" t="s">
        <v>28</v>
      </c>
      <c r="F8" s="11" t="s">
        <v>61</v>
      </c>
      <c r="G8" s="11" t="s">
        <v>61</v>
      </c>
      <c r="H8" s="20" t="str">
        <f t="shared" si="0"/>
        <v>Tuesday</v>
      </c>
      <c r="I8" s="21">
        <v>26</v>
      </c>
      <c r="J8" s="22">
        <v>1777</v>
      </c>
      <c r="K8" s="22">
        <v>40</v>
      </c>
      <c r="L8" s="23" t="s">
        <v>52</v>
      </c>
    </row>
    <row r="9" spans="1:12" ht="16.5">
      <c r="A9" s="11" t="s">
        <v>65</v>
      </c>
      <c r="B9" s="8" t="s">
        <v>66</v>
      </c>
      <c r="C9" s="7" t="s">
        <v>50</v>
      </c>
      <c r="D9" s="19" t="e">
        <f ca="1">_xludf.XLOOKUP(C9, 'Restaurant Details'!$A$5:$A$14, 'Restaurant Details'!$B$5:$B$14)</f>
        <v>#NAME?</v>
      </c>
      <c r="E9" s="11" t="s">
        <v>32</v>
      </c>
      <c r="F9" s="11" t="s">
        <v>67</v>
      </c>
      <c r="G9" s="11" t="s">
        <v>67</v>
      </c>
      <c r="H9" s="20" t="str">
        <f t="shared" si="0"/>
        <v>Monday</v>
      </c>
      <c r="I9" s="21">
        <v>31</v>
      </c>
      <c r="J9" s="22">
        <v>1368</v>
      </c>
      <c r="K9" s="22">
        <v>40</v>
      </c>
      <c r="L9" s="11" t="s">
        <v>68</v>
      </c>
    </row>
    <row r="10" spans="1:12" ht="16.5">
      <c r="A10" s="11" t="s">
        <v>69</v>
      </c>
      <c r="B10" s="8" t="s">
        <v>70</v>
      </c>
      <c r="C10" s="7" t="s">
        <v>71</v>
      </c>
      <c r="D10" s="19" t="e">
        <f ca="1">_xludf.XLOOKUP(C10, 'Restaurant Details'!$A$5:$A$14, 'Restaurant Details'!$B$5:$B$14)</f>
        <v>#NAME?</v>
      </c>
      <c r="E10" s="11" t="s">
        <v>22</v>
      </c>
      <c r="F10" s="11" t="s">
        <v>72</v>
      </c>
      <c r="G10" s="11" t="s">
        <v>72</v>
      </c>
      <c r="H10" s="20" t="str">
        <f t="shared" si="0"/>
        <v>Wednesday</v>
      </c>
      <c r="I10" s="21">
        <v>44</v>
      </c>
      <c r="J10" s="22">
        <v>1567</v>
      </c>
      <c r="K10" s="22">
        <v>60</v>
      </c>
      <c r="L10" s="11" t="s">
        <v>68</v>
      </c>
    </row>
    <row r="11" spans="1:12" ht="16.5">
      <c r="A11" s="11" t="s">
        <v>73</v>
      </c>
      <c r="B11" s="8" t="s">
        <v>74</v>
      </c>
      <c r="C11" s="7" t="s">
        <v>75</v>
      </c>
      <c r="D11" s="19" t="e">
        <f ca="1">_xludf.XLOOKUP(C11, 'Restaurant Details'!$A$5:$A$14, 'Restaurant Details'!$B$5:$B$14)</f>
        <v>#NAME?</v>
      </c>
      <c r="E11" s="11" t="s">
        <v>22</v>
      </c>
      <c r="F11" s="11" t="s">
        <v>76</v>
      </c>
      <c r="G11" s="11" t="s">
        <v>76</v>
      </c>
      <c r="H11" s="20" t="str">
        <f t="shared" si="0"/>
        <v>Tuesday</v>
      </c>
      <c r="I11" s="21">
        <v>30</v>
      </c>
      <c r="J11" s="22">
        <v>1842</v>
      </c>
      <c r="K11" s="22">
        <v>50</v>
      </c>
      <c r="L11" s="11" t="s">
        <v>68</v>
      </c>
    </row>
    <row r="12" spans="1:12" ht="16.5">
      <c r="A12" s="11" t="s">
        <v>77</v>
      </c>
      <c r="B12" s="8" t="s">
        <v>78</v>
      </c>
      <c r="C12" s="7" t="s">
        <v>64</v>
      </c>
      <c r="D12" s="19" t="e">
        <f ca="1">_xludf.XLOOKUP(C12, 'Restaurant Details'!$A$5:$A$14, 'Restaurant Details'!$B$5:$B$14)</f>
        <v>#NAME?</v>
      </c>
      <c r="E12" s="11" t="s">
        <v>28</v>
      </c>
      <c r="F12" s="11" t="s">
        <v>79</v>
      </c>
      <c r="G12" s="11" t="s">
        <v>79</v>
      </c>
      <c r="H12" s="20" t="str">
        <f t="shared" si="0"/>
        <v>Thursday</v>
      </c>
      <c r="I12" s="21">
        <v>34</v>
      </c>
      <c r="J12" s="22">
        <v>946</v>
      </c>
      <c r="K12" s="22">
        <v>60</v>
      </c>
      <c r="L12" s="11" t="s">
        <v>68</v>
      </c>
    </row>
    <row r="13" spans="1:12" ht="16.5">
      <c r="A13" s="11" t="s">
        <v>80</v>
      </c>
      <c r="B13" s="8" t="s">
        <v>81</v>
      </c>
      <c r="C13" s="7" t="s">
        <v>64</v>
      </c>
      <c r="D13" s="19" t="e">
        <f ca="1">_xludf.XLOOKUP(C13, 'Restaurant Details'!$A$5:$A$14, 'Restaurant Details'!$B$5:$B$14)</f>
        <v>#NAME?</v>
      </c>
      <c r="E13" s="11" t="s">
        <v>28</v>
      </c>
      <c r="F13" s="11" t="s">
        <v>82</v>
      </c>
      <c r="G13" s="11" t="s">
        <v>82</v>
      </c>
      <c r="H13" s="20" t="str">
        <f t="shared" si="0"/>
        <v>Thursday</v>
      </c>
      <c r="I13" s="21">
        <v>35</v>
      </c>
      <c r="J13" s="22">
        <v>1113</v>
      </c>
      <c r="K13" s="22">
        <v>40</v>
      </c>
      <c r="L13" s="11" t="s">
        <v>83</v>
      </c>
    </row>
    <row r="14" spans="1:12" ht="16.5">
      <c r="A14" s="11" t="s">
        <v>84</v>
      </c>
      <c r="B14" s="8" t="s">
        <v>85</v>
      </c>
      <c r="C14" s="7" t="s">
        <v>71</v>
      </c>
      <c r="D14" s="19" t="e">
        <f ca="1">_xludf.XLOOKUP(C14, 'Restaurant Details'!$A$5:$A$14, 'Restaurant Details'!$B$5:$B$14)</f>
        <v>#NAME?</v>
      </c>
      <c r="E14" s="11" t="s">
        <v>22</v>
      </c>
      <c r="F14" s="11" t="s">
        <v>76</v>
      </c>
      <c r="G14" s="11" t="s">
        <v>76</v>
      </c>
      <c r="H14" s="20" t="str">
        <f t="shared" si="0"/>
        <v>Tuesday</v>
      </c>
      <c r="I14" s="21">
        <v>36</v>
      </c>
      <c r="J14" s="22">
        <v>1840</v>
      </c>
      <c r="K14" s="22">
        <v>30</v>
      </c>
      <c r="L14" s="11" t="s">
        <v>57</v>
      </c>
    </row>
    <row r="15" spans="1:12" ht="16.5">
      <c r="A15" s="11" t="s">
        <v>86</v>
      </c>
      <c r="B15" s="8" t="s">
        <v>87</v>
      </c>
      <c r="C15" s="7" t="s">
        <v>88</v>
      </c>
      <c r="D15" s="19" t="e">
        <f ca="1">_xludf.XLOOKUP(C15, 'Restaurant Details'!$A$5:$A$14, 'Restaurant Details'!$B$5:$B$14)</f>
        <v>#NAME?</v>
      </c>
      <c r="E15" s="11" t="s">
        <v>22</v>
      </c>
      <c r="F15" s="11" t="s">
        <v>89</v>
      </c>
      <c r="G15" s="11" t="s">
        <v>89</v>
      </c>
      <c r="H15" s="20" t="str">
        <f t="shared" si="0"/>
        <v>Wednesday</v>
      </c>
      <c r="I15" s="21">
        <v>58</v>
      </c>
      <c r="J15" s="22">
        <v>1724</v>
      </c>
      <c r="K15" s="22">
        <v>60</v>
      </c>
      <c r="L15" s="11" t="s">
        <v>90</v>
      </c>
    </row>
    <row r="16" spans="1:12" ht="16.5">
      <c r="A16" s="11" t="s">
        <v>91</v>
      </c>
      <c r="B16" s="8" t="s">
        <v>92</v>
      </c>
      <c r="C16" s="7" t="s">
        <v>75</v>
      </c>
      <c r="D16" s="19" t="e">
        <f ca="1">_xludf.XLOOKUP(C16, 'Restaurant Details'!$A$5:$A$14, 'Restaurant Details'!$B$5:$B$14)</f>
        <v>#NAME?</v>
      </c>
      <c r="E16" s="11" t="s">
        <v>22</v>
      </c>
      <c r="F16" s="11" t="s">
        <v>89</v>
      </c>
      <c r="G16" s="11" t="s">
        <v>89</v>
      </c>
      <c r="H16" s="20" t="str">
        <f t="shared" si="0"/>
        <v>Wednesday</v>
      </c>
      <c r="I16" s="21">
        <v>36</v>
      </c>
      <c r="J16" s="22">
        <v>763</v>
      </c>
      <c r="K16" s="22">
        <v>60</v>
      </c>
      <c r="L16" s="11" t="s">
        <v>57</v>
      </c>
    </row>
    <row r="17" spans="1:12" ht="16.5">
      <c r="A17" s="11" t="s">
        <v>93</v>
      </c>
      <c r="B17" s="8" t="s">
        <v>94</v>
      </c>
      <c r="C17" s="7" t="s">
        <v>95</v>
      </c>
      <c r="D17" s="19" t="e">
        <f ca="1">_xludf.XLOOKUP(C17, 'Restaurant Details'!$A$5:$A$14, 'Restaurant Details'!$B$5:$B$14)</f>
        <v>#NAME?</v>
      </c>
      <c r="E17" s="11" t="s">
        <v>25</v>
      </c>
      <c r="F17" s="11" t="s">
        <v>96</v>
      </c>
      <c r="G17" s="11" t="s">
        <v>96</v>
      </c>
      <c r="H17" s="20" t="str">
        <f t="shared" si="0"/>
        <v>Saturday</v>
      </c>
      <c r="I17" s="21">
        <v>45</v>
      </c>
      <c r="J17" s="22">
        <v>1290</v>
      </c>
      <c r="K17" s="22">
        <v>0</v>
      </c>
      <c r="L17" s="23" t="s">
        <v>52</v>
      </c>
    </row>
    <row r="18" spans="1:12" ht="16.5">
      <c r="A18" s="11" t="s">
        <v>97</v>
      </c>
      <c r="B18" s="8" t="s">
        <v>98</v>
      </c>
      <c r="C18" s="7" t="s">
        <v>95</v>
      </c>
      <c r="D18" s="19" t="e">
        <f ca="1">_xludf.XLOOKUP(C18, 'Restaurant Details'!$A$5:$A$14, 'Restaurant Details'!$B$5:$B$14)</f>
        <v>#NAME?</v>
      </c>
      <c r="E18" s="11" t="s">
        <v>25</v>
      </c>
      <c r="F18" s="11" t="s">
        <v>99</v>
      </c>
      <c r="G18" s="11" t="s">
        <v>99</v>
      </c>
      <c r="H18" s="20" t="str">
        <f t="shared" si="0"/>
        <v>Monday</v>
      </c>
      <c r="I18" s="21">
        <v>46</v>
      </c>
      <c r="J18" s="22">
        <v>1557</v>
      </c>
      <c r="K18" s="22">
        <v>50</v>
      </c>
      <c r="L18" s="11" t="s">
        <v>57</v>
      </c>
    </row>
    <row r="19" spans="1:12" ht="16.5">
      <c r="A19" s="11" t="s">
        <v>100</v>
      </c>
      <c r="B19" s="8" t="s">
        <v>101</v>
      </c>
      <c r="C19" s="7" t="s">
        <v>50</v>
      </c>
      <c r="D19" s="19" t="e">
        <f ca="1">_xludf.XLOOKUP(C19, 'Restaurant Details'!$A$5:$A$14, 'Restaurant Details'!$B$5:$B$14)</f>
        <v>#NAME?</v>
      </c>
      <c r="E19" s="11" t="s">
        <v>32</v>
      </c>
      <c r="F19" s="11" t="s">
        <v>102</v>
      </c>
      <c r="G19" s="11" t="s">
        <v>102</v>
      </c>
      <c r="H19" s="20" t="str">
        <f t="shared" si="0"/>
        <v>Saturday</v>
      </c>
      <c r="I19" s="21">
        <v>32</v>
      </c>
      <c r="J19" s="22">
        <v>1680</v>
      </c>
      <c r="K19" s="22">
        <v>40</v>
      </c>
      <c r="L19" s="11" t="s">
        <v>57</v>
      </c>
    </row>
    <row r="20" spans="1:12" ht="16.5">
      <c r="A20" s="11" t="s">
        <v>103</v>
      </c>
      <c r="B20" s="8" t="s">
        <v>104</v>
      </c>
      <c r="C20" s="7" t="s">
        <v>105</v>
      </c>
      <c r="D20" s="19" t="e">
        <f ca="1">_xludf.XLOOKUP(C20, 'Restaurant Details'!$A$5:$A$14, 'Restaurant Details'!$B$5:$B$14)</f>
        <v>#NAME?</v>
      </c>
      <c r="E20" s="11" t="s">
        <v>29</v>
      </c>
      <c r="F20" s="11" t="s">
        <v>82</v>
      </c>
      <c r="G20" s="11" t="s">
        <v>82</v>
      </c>
      <c r="H20" s="20" t="str">
        <f t="shared" si="0"/>
        <v>Thursday</v>
      </c>
      <c r="I20" s="21">
        <v>26</v>
      </c>
      <c r="J20" s="22">
        <v>480</v>
      </c>
      <c r="K20" s="22">
        <v>40</v>
      </c>
      <c r="L20" s="11" t="s">
        <v>106</v>
      </c>
    </row>
    <row r="21" spans="1:12" ht="16.5">
      <c r="A21" s="11" t="s">
        <v>107</v>
      </c>
      <c r="B21" s="8" t="s">
        <v>108</v>
      </c>
      <c r="C21" s="7" t="s">
        <v>95</v>
      </c>
      <c r="D21" s="19" t="e">
        <f ca="1">_xludf.XLOOKUP(C21, 'Restaurant Details'!$A$5:$A$14, 'Restaurant Details'!$B$5:$B$14)</f>
        <v>#NAME?</v>
      </c>
      <c r="E21" s="11" t="s">
        <v>25</v>
      </c>
      <c r="F21" s="11" t="s">
        <v>109</v>
      </c>
      <c r="G21" s="11" t="s">
        <v>109</v>
      </c>
      <c r="H21" s="20" t="str">
        <f t="shared" si="0"/>
        <v>Sunday</v>
      </c>
      <c r="I21" s="21">
        <v>37</v>
      </c>
      <c r="J21" s="22">
        <v>997</v>
      </c>
      <c r="K21" s="22">
        <v>40</v>
      </c>
      <c r="L21" s="11" t="s">
        <v>106</v>
      </c>
    </row>
    <row r="22" spans="1:12" ht="16.5">
      <c r="A22" s="11" t="s">
        <v>110</v>
      </c>
      <c r="B22" s="8" t="s">
        <v>111</v>
      </c>
      <c r="C22" s="7" t="s">
        <v>105</v>
      </c>
      <c r="D22" s="19" t="e">
        <f ca="1">_xludf.XLOOKUP(C22, 'Restaurant Details'!$A$5:$A$14, 'Restaurant Details'!$B$5:$B$14)</f>
        <v>#NAME?</v>
      </c>
      <c r="E22" s="11" t="s">
        <v>29</v>
      </c>
      <c r="F22" s="11" t="s">
        <v>112</v>
      </c>
      <c r="G22" s="11" t="s">
        <v>112</v>
      </c>
      <c r="H22" s="20" t="str">
        <f t="shared" si="0"/>
        <v>Thursday</v>
      </c>
      <c r="I22" s="21">
        <v>40</v>
      </c>
      <c r="J22" s="22">
        <v>770</v>
      </c>
      <c r="K22" s="22">
        <v>60</v>
      </c>
      <c r="L22" s="11" t="s">
        <v>90</v>
      </c>
    </row>
    <row r="23" spans="1:12" ht="16.5">
      <c r="A23" s="11" t="s">
        <v>113</v>
      </c>
      <c r="B23" s="8" t="s">
        <v>114</v>
      </c>
      <c r="C23" s="7" t="s">
        <v>55</v>
      </c>
      <c r="D23" s="19" t="e">
        <f ca="1">_xludf.XLOOKUP(C23, 'Restaurant Details'!$A$5:$A$14, 'Restaurant Details'!$B$5:$B$14)</f>
        <v>#NAME?</v>
      </c>
      <c r="E23" s="11" t="s">
        <v>33</v>
      </c>
      <c r="F23" s="11" t="s">
        <v>115</v>
      </c>
      <c r="G23" s="11" t="s">
        <v>115</v>
      </c>
      <c r="H23" s="20" t="str">
        <f t="shared" si="0"/>
        <v>Monday</v>
      </c>
      <c r="I23" s="21">
        <v>55</v>
      </c>
      <c r="J23" s="22">
        <v>1172</v>
      </c>
      <c r="K23" s="22">
        <v>60</v>
      </c>
      <c r="L23" s="11" t="s">
        <v>83</v>
      </c>
    </row>
    <row r="24" spans="1:12" ht="16.5">
      <c r="A24" s="11" t="s">
        <v>116</v>
      </c>
      <c r="B24" s="8" t="s">
        <v>117</v>
      </c>
      <c r="C24" s="7" t="s">
        <v>75</v>
      </c>
      <c r="D24" s="19" t="e">
        <f ca="1">_xludf.XLOOKUP(C24, 'Restaurant Details'!$A$5:$A$14, 'Restaurant Details'!$B$5:$B$14)</f>
        <v>#NAME?</v>
      </c>
      <c r="E24" s="11" t="s">
        <v>22</v>
      </c>
      <c r="F24" s="11" t="s">
        <v>118</v>
      </c>
      <c r="G24" s="11" t="s">
        <v>118</v>
      </c>
      <c r="H24" s="20" t="str">
        <f t="shared" si="0"/>
        <v>Tuesday</v>
      </c>
      <c r="I24" s="21">
        <v>41</v>
      </c>
      <c r="J24" s="22">
        <v>850</v>
      </c>
      <c r="K24" s="22">
        <v>40</v>
      </c>
      <c r="L24" s="11" t="s">
        <v>90</v>
      </c>
    </row>
    <row r="25" spans="1:12" ht="16.5">
      <c r="A25" s="11" t="s">
        <v>119</v>
      </c>
      <c r="B25" s="8" t="s">
        <v>120</v>
      </c>
      <c r="C25" s="7" t="s">
        <v>55</v>
      </c>
      <c r="D25" s="19" t="e">
        <f ca="1">_xludf.XLOOKUP(C25, 'Restaurant Details'!$A$5:$A$14, 'Restaurant Details'!$B$5:$B$14)</f>
        <v>#NAME?</v>
      </c>
      <c r="E25" s="11" t="s">
        <v>33</v>
      </c>
      <c r="F25" s="11" t="s">
        <v>61</v>
      </c>
      <c r="G25" s="11" t="s">
        <v>61</v>
      </c>
      <c r="H25" s="20" t="str">
        <f t="shared" si="0"/>
        <v>Tuesday</v>
      </c>
      <c r="I25" s="21">
        <v>28</v>
      </c>
      <c r="J25" s="22">
        <v>1294</v>
      </c>
      <c r="K25" s="22">
        <v>40</v>
      </c>
      <c r="L25" s="11" t="s">
        <v>83</v>
      </c>
    </row>
    <row r="26" spans="1:12" ht="16.5">
      <c r="A26" s="11" t="s">
        <v>121</v>
      </c>
      <c r="B26" s="8" t="s">
        <v>122</v>
      </c>
      <c r="C26" s="7" t="s">
        <v>60</v>
      </c>
      <c r="D26" s="19" t="e">
        <f ca="1">_xludf.XLOOKUP(C26, 'Restaurant Details'!$A$5:$A$14, 'Restaurant Details'!$B$5:$B$14)</f>
        <v>#NAME?</v>
      </c>
      <c r="E26" s="11" t="s">
        <v>22</v>
      </c>
      <c r="F26" s="11" t="s">
        <v>51</v>
      </c>
      <c r="G26" s="11" t="s">
        <v>51</v>
      </c>
      <c r="H26" s="20" t="str">
        <f t="shared" si="0"/>
        <v>Friday</v>
      </c>
      <c r="I26" s="21">
        <v>54</v>
      </c>
      <c r="J26" s="22">
        <v>737</v>
      </c>
      <c r="K26" s="22">
        <v>50</v>
      </c>
      <c r="L26" s="11" t="s">
        <v>57</v>
      </c>
    </row>
    <row r="27" spans="1:12" ht="16.5">
      <c r="A27" s="11" t="s">
        <v>123</v>
      </c>
      <c r="B27" s="8" t="s">
        <v>124</v>
      </c>
      <c r="C27" s="7" t="s">
        <v>71</v>
      </c>
      <c r="D27" s="19" t="e">
        <f ca="1">_xludf.XLOOKUP(C27, 'Restaurant Details'!$A$5:$A$14, 'Restaurant Details'!$B$5:$B$14)</f>
        <v>#NAME?</v>
      </c>
      <c r="E27" s="11" t="s">
        <v>22</v>
      </c>
      <c r="F27" s="11" t="s">
        <v>82</v>
      </c>
      <c r="G27" s="11" t="s">
        <v>82</v>
      </c>
      <c r="H27" s="20" t="str">
        <f t="shared" si="0"/>
        <v>Thursday</v>
      </c>
      <c r="I27" s="21">
        <v>56</v>
      </c>
      <c r="J27" s="22">
        <v>1052</v>
      </c>
      <c r="K27" s="22">
        <v>30</v>
      </c>
      <c r="L27" s="11" t="s">
        <v>106</v>
      </c>
    </row>
    <row r="28" spans="1:12" ht="16.5">
      <c r="A28" s="11" t="s">
        <v>125</v>
      </c>
      <c r="B28" s="8" t="s">
        <v>126</v>
      </c>
      <c r="C28" s="7" t="s">
        <v>105</v>
      </c>
      <c r="D28" s="19" t="e">
        <f ca="1">_xludf.XLOOKUP(C28, 'Restaurant Details'!$A$5:$A$14, 'Restaurant Details'!$B$5:$B$14)</f>
        <v>#NAME?</v>
      </c>
      <c r="E28" s="11" t="s">
        <v>29</v>
      </c>
      <c r="F28" s="11" t="s">
        <v>127</v>
      </c>
      <c r="G28" s="11" t="s">
        <v>127</v>
      </c>
      <c r="H28" s="20" t="str">
        <f t="shared" si="0"/>
        <v>Monday</v>
      </c>
      <c r="I28" s="21">
        <v>55</v>
      </c>
      <c r="J28" s="22">
        <v>536</v>
      </c>
      <c r="K28" s="22">
        <v>40</v>
      </c>
      <c r="L28" s="23" t="s">
        <v>52</v>
      </c>
    </row>
    <row r="29" spans="1:12" ht="16.5">
      <c r="A29" s="11" t="s">
        <v>128</v>
      </c>
      <c r="B29" s="8" t="s">
        <v>129</v>
      </c>
      <c r="C29" s="7" t="s">
        <v>130</v>
      </c>
      <c r="D29" s="19" t="e">
        <f ca="1">_xludf.XLOOKUP(C29, 'Restaurant Details'!$A$5:$A$14, 'Restaurant Details'!$B$5:$B$14)</f>
        <v>#NAME?</v>
      </c>
      <c r="E29" s="11" t="s">
        <v>25</v>
      </c>
      <c r="F29" s="11" t="s">
        <v>131</v>
      </c>
      <c r="G29" s="11" t="s">
        <v>131</v>
      </c>
      <c r="H29" s="20" t="str">
        <f t="shared" si="0"/>
        <v>Tuesday</v>
      </c>
      <c r="I29" s="21">
        <v>54</v>
      </c>
      <c r="J29" s="22">
        <v>635</v>
      </c>
      <c r="K29" s="22">
        <v>40</v>
      </c>
      <c r="L29" s="11" t="s">
        <v>68</v>
      </c>
    </row>
    <row r="30" spans="1:12" ht="16.5">
      <c r="A30" s="11" t="s">
        <v>132</v>
      </c>
      <c r="B30" s="8" t="s">
        <v>133</v>
      </c>
      <c r="C30" s="7" t="s">
        <v>130</v>
      </c>
      <c r="D30" s="19" t="e">
        <f ca="1">_xludf.XLOOKUP(C30, 'Restaurant Details'!$A$5:$A$14, 'Restaurant Details'!$B$5:$B$14)</f>
        <v>#NAME?</v>
      </c>
      <c r="E30" s="11" t="s">
        <v>25</v>
      </c>
      <c r="F30" s="11" t="s">
        <v>112</v>
      </c>
      <c r="G30" s="11" t="s">
        <v>112</v>
      </c>
      <c r="H30" s="20" t="str">
        <f t="shared" si="0"/>
        <v>Thursday</v>
      </c>
      <c r="I30" s="21">
        <v>32</v>
      </c>
      <c r="J30" s="22">
        <v>611</v>
      </c>
      <c r="K30" s="22">
        <v>30</v>
      </c>
      <c r="L30" s="11" t="s">
        <v>83</v>
      </c>
    </row>
    <row r="31" spans="1:12" ht="16.5">
      <c r="A31" s="11" t="s">
        <v>134</v>
      </c>
      <c r="B31" s="8" t="s">
        <v>135</v>
      </c>
      <c r="C31" s="7" t="s">
        <v>130</v>
      </c>
      <c r="D31" s="19" t="e">
        <f ca="1">_xludf.XLOOKUP(C31, 'Restaurant Details'!$A$5:$A$14, 'Restaurant Details'!$B$5:$B$14)</f>
        <v>#NAME?</v>
      </c>
      <c r="E31" s="11" t="s">
        <v>25</v>
      </c>
      <c r="F31" s="11" t="s">
        <v>136</v>
      </c>
      <c r="G31" s="11" t="s">
        <v>136</v>
      </c>
      <c r="H31" s="20" t="str">
        <f t="shared" si="0"/>
        <v>Wednesday</v>
      </c>
      <c r="I31" s="21">
        <v>57</v>
      </c>
      <c r="J31" s="22">
        <v>1517</v>
      </c>
      <c r="K31" s="22">
        <v>30</v>
      </c>
      <c r="L31" s="11" t="s">
        <v>90</v>
      </c>
    </row>
    <row r="32" spans="1:12" ht="16.5">
      <c r="A32" s="11" t="s">
        <v>137</v>
      </c>
      <c r="B32" s="8" t="s">
        <v>138</v>
      </c>
      <c r="C32" s="7" t="s">
        <v>75</v>
      </c>
      <c r="D32" s="19" t="e">
        <f ca="1">_xludf.XLOOKUP(C32, 'Restaurant Details'!$A$5:$A$14, 'Restaurant Details'!$B$5:$B$14)</f>
        <v>#NAME?</v>
      </c>
      <c r="E32" s="11" t="s">
        <v>22</v>
      </c>
      <c r="F32" s="11" t="s">
        <v>56</v>
      </c>
      <c r="G32" s="11" t="s">
        <v>56</v>
      </c>
      <c r="H32" s="20" t="str">
        <f t="shared" si="0"/>
        <v>Wednesday</v>
      </c>
      <c r="I32" s="21">
        <v>33</v>
      </c>
      <c r="J32" s="22">
        <v>1394</v>
      </c>
      <c r="K32" s="22">
        <v>50</v>
      </c>
      <c r="L32" s="11" t="s">
        <v>106</v>
      </c>
    </row>
    <row r="33" spans="1:12" ht="16.5">
      <c r="A33" s="11" t="s">
        <v>139</v>
      </c>
      <c r="B33" s="8" t="s">
        <v>140</v>
      </c>
      <c r="C33" s="7" t="s">
        <v>75</v>
      </c>
      <c r="D33" s="19" t="e">
        <f ca="1">_xludf.XLOOKUP(C33, 'Restaurant Details'!$A$5:$A$14, 'Restaurant Details'!$B$5:$B$14)</f>
        <v>#NAME?</v>
      </c>
      <c r="E33" s="11" t="s">
        <v>22</v>
      </c>
      <c r="F33" s="11" t="s">
        <v>99</v>
      </c>
      <c r="G33" s="11" t="s">
        <v>99</v>
      </c>
      <c r="H33" s="20" t="str">
        <f t="shared" si="0"/>
        <v>Monday</v>
      </c>
      <c r="I33" s="21">
        <v>23</v>
      </c>
      <c r="J33" s="22">
        <v>653</v>
      </c>
      <c r="K33" s="22">
        <v>30</v>
      </c>
      <c r="L33" s="11" t="s">
        <v>106</v>
      </c>
    </row>
    <row r="34" spans="1:12" ht="16.5">
      <c r="A34" s="11" t="s">
        <v>141</v>
      </c>
      <c r="B34" s="8" t="s">
        <v>142</v>
      </c>
      <c r="C34" s="7" t="s">
        <v>130</v>
      </c>
      <c r="D34" s="19" t="e">
        <f ca="1">_xludf.XLOOKUP(C34, 'Restaurant Details'!$A$5:$A$14, 'Restaurant Details'!$B$5:$B$14)</f>
        <v>#NAME?</v>
      </c>
      <c r="E34" s="11" t="s">
        <v>25</v>
      </c>
      <c r="F34" s="11" t="s">
        <v>143</v>
      </c>
      <c r="G34" s="11" t="s">
        <v>143</v>
      </c>
      <c r="H34" s="20" t="str">
        <f t="shared" si="0"/>
        <v>Sunday</v>
      </c>
      <c r="I34" s="21">
        <v>35</v>
      </c>
      <c r="J34" s="22">
        <v>1466</v>
      </c>
      <c r="K34" s="22">
        <v>40</v>
      </c>
      <c r="L34" s="23" t="s">
        <v>52</v>
      </c>
    </row>
    <row r="35" spans="1:12" ht="16.5">
      <c r="A35" s="11" t="s">
        <v>144</v>
      </c>
      <c r="B35" s="8" t="s">
        <v>145</v>
      </c>
      <c r="C35" s="7" t="s">
        <v>105</v>
      </c>
      <c r="D35" s="19" t="e">
        <f ca="1">_xludf.XLOOKUP(C35, 'Restaurant Details'!$A$5:$A$14, 'Restaurant Details'!$B$5:$B$14)</f>
        <v>#NAME?</v>
      </c>
      <c r="E35" s="11" t="s">
        <v>29</v>
      </c>
      <c r="F35" s="11" t="s">
        <v>109</v>
      </c>
      <c r="G35" s="11" t="s">
        <v>109</v>
      </c>
      <c r="H35" s="20" t="str">
        <f t="shared" si="0"/>
        <v>Sunday</v>
      </c>
      <c r="I35" s="21">
        <v>33</v>
      </c>
      <c r="J35" s="22">
        <v>1248</v>
      </c>
      <c r="K35" s="22">
        <v>50</v>
      </c>
      <c r="L35" s="11" t="s">
        <v>57</v>
      </c>
    </row>
    <row r="36" spans="1:12" ht="16.5">
      <c r="A36" s="11" t="s">
        <v>146</v>
      </c>
      <c r="B36" s="8" t="s">
        <v>147</v>
      </c>
      <c r="C36" s="7" t="s">
        <v>50</v>
      </c>
      <c r="D36" s="19" t="e">
        <f ca="1">_xludf.XLOOKUP(C36, 'Restaurant Details'!$A$5:$A$14, 'Restaurant Details'!$B$5:$B$14)</f>
        <v>#NAME?</v>
      </c>
      <c r="E36" s="11" t="s">
        <v>32</v>
      </c>
      <c r="F36" s="11" t="s">
        <v>148</v>
      </c>
      <c r="G36" s="11" t="s">
        <v>148</v>
      </c>
      <c r="H36" s="20" t="str">
        <f t="shared" si="0"/>
        <v>Saturday</v>
      </c>
      <c r="I36" s="21">
        <v>50</v>
      </c>
      <c r="J36" s="22">
        <v>1746</v>
      </c>
      <c r="K36" s="22">
        <v>40</v>
      </c>
      <c r="L36" s="11" t="s">
        <v>68</v>
      </c>
    </row>
    <row r="37" spans="1:12" ht="16.5">
      <c r="A37" s="11" t="s">
        <v>149</v>
      </c>
      <c r="B37" s="8" t="s">
        <v>150</v>
      </c>
      <c r="C37" s="7" t="s">
        <v>130</v>
      </c>
      <c r="D37" s="19" t="e">
        <f ca="1">_xludf.XLOOKUP(C37, 'Restaurant Details'!$A$5:$A$14, 'Restaurant Details'!$B$5:$B$14)</f>
        <v>#NAME?</v>
      </c>
      <c r="E37" s="11" t="s">
        <v>25</v>
      </c>
      <c r="F37" s="11" t="s">
        <v>102</v>
      </c>
      <c r="G37" s="11" t="s">
        <v>102</v>
      </c>
      <c r="H37" s="20" t="str">
        <f t="shared" ref="H37:H68" si="1">TEXT(G37, "dddd")</f>
        <v>Saturday</v>
      </c>
      <c r="I37" s="21">
        <v>50</v>
      </c>
      <c r="J37" s="22">
        <v>1136</v>
      </c>
      <c r="K37" s="22">
        <v>0</v>
      </c>
      <c r="L37" s="23" t="s">
        <v>52</v>
      </c>
    </row>
    <row r="38" spans="1:12" ht="16.5">
      <c r="A38" s="11" t="s">
        <v>151</v>
      </c>
      <c r="B38" s="8" t="s">
        <v>152</v>
      </c>
      <c r="C38" s="7" t="s">
        <v>95</v>
      </c>
      <c r="D38" s="19" t="e">
        <f ca="1">_xludf.XLOOKUP(C38, 'Restaurant Details'!$A$5:$A$14, 'Restaurant Details'!$B$5:$B$14)</f>
        <v>#NAME?</v>
      </c>
      <c r="E38" s="11" t="s">
        <v>25</v>
      </c>
      <c r="F38" s="11" t="s">
        <v>153</v>
      </c>
      <c r="G38" s="11" t="s">
        <v>153</v>
      </c>
      <c r="H38" s="20" t="str">
        <f t="shared" si="1"/>
        <v>Sunday</v>
      </c>
      <c r="I38" s="21">
        <v>35</v>
      </c>
      <c r="J38" s="22">
        <v>608</v>
      </c>
      <c r="K38" s="22">
        <v>50</v>
      </c>
      <c r="L38" s="11" t="s">
        <v>68</v>
      </c>
    </row>
    <row r="39" spans="1:12" ht="16.5">
      <c r="A39" s="11" t="s">
        <v>154</v>
      </c>
      <c r="B39" s="8" t="s">
        <v>155</v>
      </c>
      <c r="C39" s="7" t="s">
        <v>105</v>
      </c>
      <c r="D39" s="19" t="e">
        <f ca="1">_xludf.XLOOKUP(C39, 'Restaurant Details'!$A$5:$A$14, 'Restaurant Details'!$B$5:$B$14)</f>
        <v>#NAME?</v>
      </c>
      <c r="E39" s="11" t="s">
        <v>29</v>
      </c>
      <c r="F39" s="11" t="s">
        <v>72</v>
      </c>
      <c r="G39" s="11" t="s">
        <v>72</v>
      </c>
      <c r="H39" s="20" t="str">
        <f t="shared" si="1"/>
        <v>Wednesday</v>
      </c>
      <c r="I39" s="21">
        <v>33</v>
      </c>
      <c r="J39" s="22">
        <v>1010</v>
      </c>
      <c r="K39" s="22">
        <v>60</v>
      </c>
      <c r="L39" s="23" t="s">
        <v>52</v>
      </c>
    </row>
    <row r="40" spans="1:12" ht="16.5">
      <c r="A40" s="11" t="s">
        <v>156</v>
      </c>
      <c r="B40" s="8" t="s">
        <v>157</v>
      </c>
      <c r="C40" s="7" t="s">
        <v>71</v>
      </c>
      <c r="D40" s="19" t="e">
        <f ca="1">_xludf.XLOOKUP(C40, 'Restaurant Details'!$A$5:$A$14, 'Restaurant Details'!$B$5:$B$14)</f>
        <v>#NAME?</v>
      </c>
      <c r="E40" s="11" t="s">
        <v>22</v>
      </c>
      <c r="F40" s="11" t="s">
        <v>136</v>
      </c>
      <c r="G40" s="11" t="s">
        <v>136</v>
      </c>
      <c r="H40" s="20" t="str">
        <f t="shared" si="1"/>
        <v>Wednesday</v>
      </c>
      <c r="I40" s="21">
        <v>43</v>
      </c>
      <c r="J40" s="22">
        <v>1661</v>
      </c>
      <c r="K40" s="22">
        <v>30</v>
      </c>
      <c r="L40" s="11" t="s">
        <v>83</v>
      </c>
    </row>
    <row r="41" spans="1:12" ht="16.5">
      <c r="A41" s="11" t="s">
        <v>158</v>
      </c>
      <c r="B41" s="8" t="s">
        <v>159</v>
      </c>
      <c r="C41" s="7" t="s">
        <v>88</v>
      </c>
      <c r="D41" s="19" t="e">
        <f ca="1">_xludf.XLOOKUP(C41, 'Restaurant Details'!$A$5:$A$14, 'Restaurant Details'!$B$5:$B$14)</f>
        <v>#NAME?</v>
      </c>
      <c r="E41" s="11" t="s">
        <v>22</v>
      </c>
      <c r="F41" s="11" t="s">
        <v>160</v>
      </c>
      <c r="G41" s="11" t="s">
        <v>160</v>
      </c>
      <c r="H41" s="20" t="str">
        <f t="shared" si="1"/>
        <v>Saturday</v>
      </c>
      <c r="I41" s="21">
        <v>24</v>
      </c>
      <c r="J41" s="22">
        <v>718</v>
      </c>
      <c r="K41" s="22">
        <v>0</v>
      </c>
      <c r="L41" s="11" t="s">
        <v>68</v>
      </c>
    </row>
    <row r="42" spans="1:12" ht="16.5">
      <c r="A42" s="11" t="s">
        <v>161</v>
      </c>
      <c r="B42" s="8" t="s">
        <v>162</v>
      </c>
      <c r="C42" s="7" t="s">
        <v>88</v>
      </c>
      <c r="D42" s="19" t="e">
        <f ca="1">_xludf.XLOOKUP(C42, 'Restaurant Details'!$A$5:$A$14, 'Restaurant Details'!$B$5:$B$14)</f>
        <v>#NAME?</v>
      </c>
      <c r="E42" s="11" t="s">
        <v>22</v>
      </c>
      <c r="F42" s="11" t="s">
        <v>115</v>
      </c>
      <c r="G42" s="11" t="s">
        <v>115</v>
      </c>
      <c r="H42" s="20" t="str">
        <f t="shared" si="1"/>
        <v>Monday</v>
      </c>
      <c r="I42" s="21">
        <v>57</v>
      </c>
      <c r="J42" s="22">
        <v>382</v>
      </c>
      <c r="K42" s="22">
        <v>60</v>
      </c>
      <c r="L42" s="11" t="s">
        <v>57</v>
      </c>
    </row>
    <row r="43" spans="1:12" ht="16.5">
      <c r="A43" s="11" t="s">
        <v>163</v>
      </c>
      <c r="B43" s="8" t="s">
        <v>164</v>
      </c>
      <c r="C43" s="7" t="s">
        <v>71</v>
      </c>
      <c r="D43" s="19" t="e">
        <f ca="1">_xludf.XLOOKUP(C43, 'Restaurant Details'!$A$5:$A$14, 'Restaurant Details'!$B$5:$B$14)</f>
        <v>#NAME?</v>
      </c>
      <c r="E43" s="11" t="s">
        <v>22</v>
      </c>
      <c r="F43" s="11" t="s">
        <v>61</v>
      </c>
      <c r="G43" s="11" t="s">
        <v>61</v>
      </c>
      <c r="H43" s="20" t="str">
        <f t="shared" si="1"/>
        <v>Tuesday</v>
      </c>
      <c r="I43" s="21">
        <v>43</v>
      </c>
      <c r="J43" s="22">
        <v>1412</v>
      </c>
      <c r="K43" s="22">
        <v>50</v>
      </c>
      <c r="L43" s="23" t="s">
        <v>52</v>
      </c>
    </row>
    <row r="44" spans="1:12" ht="16.5">
      <c r="A44" s="11" t="s">
        <v>165</v>
      </c>
      <c r="B44" s="8" t="s">
        <v>166</v>
      </c>
      <c r="C44" s="7" t="s">
        <v>95</v>
      </c>
      <c r="D44" s="19" t="e">
        <f ca="1">_xludf.XLOOKUP(C44, 'Restaurant Details'!$A$5:$A$14, 'Restaurant Details'!$B$5:$B$14)</f>
        <v>#NAME?</v>
      </c>
      <c r="E44" s="11" t="s">
        <v>25</v>
      </c>
      <c r="F44" s="11" t="s">
        <v>167</v>
      </c>
      <c r="G44" s="11" t="s">
        <v>167</v>
      </c>
      <c r="H44" s="20" t="str">
        <f t="shared" si="1"/>
        <v>Sunday</v>
      </c>
      <c r="I44" s="21">
        <v>28</v>
      </c>
      <c r="J44" s="22">
        <v>1162</v>
      </c>
      <c r="K44" s="22">
        <v>30</v>
      </c>
      <c r="L44" s="11" t="s">
        <v>83</v>
      </c>
    </row>
    <row r="45" spans="1:12" ht="16.5">
      <c r="A45" s="11" t="s">
        <v>168</v>
      </c>
      <c r="B45" s="8" t="s">
        <v>169</v>
      </c>
      <c r="C45" s="7" t="s">
        <v>95</v>
      </c>
      <c r="D45" s="19" t="e">
        <f ca="1">_xludf.XLOOKUP(C45, 'Restaurant Details'!$A$5:$A$14, 'Restaurant Details'!$B$5:$B$14)</f>
        <v>#NAME?</v>
      </c>
      <c r="E45" s="11" t="s">
        <v>25</v>
      </c>
      <c r="F45" s="11" t="s">
        <v>170</v>
      </c>
      <c r="G45" s="11" t="s">
        <v>170</v>
      </c>
      <c r="H45" s="20" t="str">
        <f t="shared" si="1"/>
        <v>Sunday</v>
      </c>
      <c r="I45" s="21">
        <v>43</v>
      </c>
      <c r="J45" s="22">
        <v>909</v>
      </c>
      <c r="K45" s="22">
        <v>50</v>
      </c>
      <c r="L45" s="11" t="s">
        <v>68</v>
      </c>
    </row>
    <row r="46" spans="1:12" ht="16.5">
      <c r="A46" s="11" t="s">
        <v>171</v>
      </c>
      <c r="B46" s="8" t="s">
        <v>172</v>
      </c>
      <c r="C46" s="7" t="s">
        <v>95</v>
      </c>
      <c r="D46" s="19" t="e">
        <f ca="1">_xludf.XLOOKUP(C46, 'Restaurant Details'!$A$5:$A$14, 'Restaurant Details'!$B$5:$B$14)</f>
        <v>#NAME?</v>
      </c>
      <c r="E46" s="11" t="s">
        <v>25</v>
      </c>
      <c r="F46" s="11" t="s">
        <v>79</v>
      </c>
      <c r="G46" s="11" t="s">
        <v>79</v>
      </c>
      <c r="H46" s="20" t="str">
        <f t="shared" si="1"/>
        <v>Thursday</v>
      </c>
      <c r="I46" s="21">
        <v>51</v>
      </c>
      <c r="J46" s="22">
        <v>1168</v>
      </c>
      <c r="K46" s="22">
        <v>60</v>
      </c>
      <c r="L46" s="11" t="s">
        <v>90</v>
      </c>
    </row>
    <row r="47" spans="1:12" ht="16.5">
      <c r="A47" s="11" t="s">
        <v>173</v>
      </c>
      <c r="B47" s="8" t="s">
        <v>174</v>
      </c>
      <c r="C47" s="7" t="s">
        <v>64</v>
      </c>
      <c r="D47" s="19" t="e">
        <f ca="1">_xludf.XLOOKUP(C47, 'Restaurant Details'!$A$5:$A$14, 'Restaurant Details'!$B$5:$B$14)</f>
        <v>#NAME?</v>
      </c>
      <c r="E47" s="11" t="s">
        <v>28</v>
      </c>
      <c r="F47" s="11" t="s">
        <v>51</v>
      </c>
      <c r="G47" s="11" t="s">
        <v>51</v>
      </c>
      <c r="H47" s="20" t="str">
        <f t="shared" si="1"/>
        <v>Friday</v>
      </c>
      <c r="I47" s="21">
        <v>24</v>
      </c>
      <c r="J47" s="22">
        <v>529</v>
      </c>
      <c r="K47" s="22">
        <v>30</v>
      </c>
      <c r="L47" s="11" t="s">
        <v>57</v>
      </c>
    </row>
    <row r="48" spans="1:12" ht="16.5">
      <c r="A48" s="11" t="s">
        <v>175</v>
      </c>
      <c r="B48" s="8" t="s">
        <v>176</v>
      </c>
      <c r="C48" s="7" t="s">
        <v>60</v>
      </c>
      <c r="D48" s="19" t="e">
        <f ca="1">_xludf.XLOOKUP(C48, 'Restaurant Details'!$A$5:$A$14, 'Restaurant Details'!$B$5:$B$14)</f>
        <v>#NAME?</v>
      </c>
      <c r="E48" s="11" t="s">
        <v>22</v>
      </c>
      <c r="F48" s="11" t="s">
        <v>148</v>
      </c>
      <c r="G48" s="11" t="s">
        <v>148</v>
      </c>
      <c r="H48" s="20" t="str">
        <f t="shared" si="1"/>
        <v>Saturday</v>
      </c>
      <c r="I48" s="21">
        <v>33</v>
      </c>
      <c r="J48" s="22">
        <v>1314</v>
      </c>
      <c r="K48" s="22">
        <v>30</v>
      </c>
      <c r="L48" s="11" t="s">
        <v>106</v>
      </c>
    </row>
    <row r="49" spans="1:12" ht="16.5">
      <c r="A49" s="11" t="s">
        <v>177</v>
      </c>
      <c r="B49" s="8" t="s">
        <v>178</v>
      </c>
      <c r="C49" s="7" t="s">
        <v>60</v>
      </c>
      <c r="D49" s="19" t="e">
        <f ca="1">_xludf.XLOOKUP(C49, 'Restaurant Details'!$A$5:$A$14, 'Restaurant Details'!$B$5:$B$14)</f>
        <v>#NAME?</v>
      </c>
      <c r="E49" s="11" t="s">
        <v>22</v>
      </c>
      <c r="F49" s="11" t="s">
        <v>153</v>
      </c>
      <c r="G49" s="11" t="s">
        <v>153</v>
      </c>
      <c r="H49" s="20" t="str">
        <f t="shared" si="1"/>
        <v>Sunday</v>
      </c>
      <c r="I49" s="21">
        <v>23</v>
      </c>
      <c r="J49" s="22">
        <v>839</v>
      </c>
      <c r="K49" s="22">
        <v>40</v>
      </c>
      <c r="L49" s="11" t="s">
        <v>106</v>
      </c>
    </row>
    <row r="50" spans="1:12" ht="16.5">
      <c r="A50" s="11" t="s">
        <v>179</v>
      </c>
      <c r="B50" s="8" t="s">
        <v>180</v>
      </c>
      <c r="C50" s="7" t="s">
        <v>64</v>
      </c>
      <c r="D50" s="19" t="e">
        <f ca="1">_xludf.XLOOKUP(C50, 'Restaurant Details'!$A$5:$A$14, 'Restaurant Details'!$B$5:$B$14)</f>
        <v>#NAME?</v>
      </c>
      <c r="E50" s="11" t="s">
        <v>28</v>
      </c>
      <c r="F50" s="11" t="s">
        <v>56</v>
      </c>
      <c r="G50" s="11" t="s">
        <v>56</v>
      </c>
      <c r="H50" s="20" t="str">
        <f t="shared" si="1"/>
        <v>Wednesday</v>
      </c>
      <c r="I50" s="21">
        <v>58</v>
      </c>
      <c r="J50" s="22">
        <v>561</v>
      </c>
      <c r="K50" s="22">
        <v>40</v>
      </c>
      <c r="L50" s="11" t="s">
        <v>90</v>
      </c>
    </row>
    <row r="51" spans="1:12" ht="16.5">
      <c r="A51" s="11" t="s">
        <v>181</v>
      </c>
      <c r="B51" s="8" t="s">
        <v>182</v>
      </c>
      <c r="C51" s="7" t="s">
        <v>130</v>
      </c>
      <c r="D51" s="19" t="e">
        <f ca="1">_xludf.XLOOKUP(C51, 'Restaurant Details'!$A$5:$A$14, 'Restaurant Details'!$B$5:$B$14)</f>
        <v>#NAME?</v>
      </c>
      <c r="E51" s="11" t="s">
        <v>25</v>
      </c>
      <c r="F51" s="11" t="s">
        <v>136</v>
      </c>
      <c r="G51" s="11" t="s">
        <v>136</v>
      </c>
      <c r="H51" s="20" t="str">
        <f t="shared" si="1"/>
        <v>Wednesday</v>
      </c>
      <c r="I51" s="21">
        <v>49</v>
      </c>
      <c r="J51" s="22">
        <v>490</v>
      </c>
      <c r="K51" s="22">
        <v>0</v>
      </c>
      <c r="L51" s="23" t="s">
        <v>52</v>
      </c>
    </row>
    <row r="52" spans="1:12" ht="16.5">
      <c r="A52" s="11" t="s">
        <v>183</v>
      </c>
      <c r="B52" s="8" t="s">
        <v>184</v>
      </c>
      <c r="C52" s="7" t="s">
        <v>55</v>
      </c>
      <c r="D52" s="19" t="e">
        <f ca="1">_xludf.XLOOKUP(C52, 'Restaurant Details'!$A$5:$A$14, 'Restaurant Details'!$B$5:$B$14)</f>
        <v>#NAME?</v>
      </c>
      <c r="E52" s="11" t="s">
        <v>33</v>
      </c>
      <c r="F52" s="11" t="s">
        <v>160</v>
      </c>
      <c r="G52" s="11" t="s">
        <v>160</v>
      </c>
      <c r="H52" s="20" t="str">
        <f t="shared" si="1"/>
        <v>Saturday</v>
      </c>
      <c r="I52" s="21">
        <v>57</v>
      </c>
      <c r="J52" s="22">
        <v>606</v>
      </c>
      <c r="K52" s="22">
        <v>40</v>
      </c>
      <c r="L52" s="11" t="s">
        <v>106</v>
      </c>
    </row>
    <row r="53" spans="1:12" ht="16.5">
      <c r="A53" s="11" t="s">
        <v>185</v>
      </c>
      <c r="B53" s="8" t="s">
        <v>186</v>
      </c>
      <c r="C53" s="7" t="s">
        <v>88</v>
      </c>
      <c r="D53" s="19" t="e">
        <f ca="1">_xludf.XLOOKUP(C53, 'Restaurant Details'!$A$5:$A$14, 'Restaurant Details'!$B$5:$B$14)</f>
        <v>#NAME?</v>
      </c>
      <c r="E53" s="11" t="s">
        <v>22</v>
      </c>
      <c r="F53" s="11" t="s">
        <v>136</v>
      </c>
      <c r="G53" s="11" t="s">
        <v>136</v>
      </c>
      <c r="H53" s="20" t="str">
        <f t="shared" si="1"/>
        <v>Wednesday</v>
      </c>
      <c r="I53" s="21">
        <v>34</v>
      </c>
      <c r="J53" s="22">
        <v>1053</v>
      </c>
      <c r="K53" s="22">
        <v>0</v>
      </c>
      <c r="L53" s="11" t="s">
        <v>90</v>
      </c>
    </row>
    <row r="54" spans="1:12" ht="16.5">
      <c r="A54" s="11" t="s">
        <v>187</v>
      </c>
      <c r="B54" s="8" t="s">
        <v>188</v>
      </c>
      <c r="C54" s="7" t="s">
        <v>60</v>
      </c>
      <c r="D54" s="19" t="e">
        <f ca="1">_xludf.XLOOKUP(C54, 'Restaurant Details'!$A$5:$A$14, 'Restaurant Details'!$B$5:$B$14)</f>
        <v>#NAME?</v>
      </c>
      <c r="E54" s="11" t="s">
        <v>22</v>
      </c>
      <c r="F54" s="11" t="s">
        <v>109</v>
      </c>
      <c r="G54" s="11" t="s">
        <v>109</v>
      </c>
      <c r="H54" s="20" t="str">
        <f t="shared" si="1"/>
        <v>Sunday</v>
      </c>
      <c r="I54" s="21">
        <v>58</v>
      </c>
      <c r="J54" s="22">
        <v>633</v>
      </c>
      <c r="K54" s="22">
        <v>40</v>
      </c>
      <c r="L54" s="11" t="s">
        <v>90</v>
      </c>
    </row>
    <row r="55" spans="1:12" ht="16.5">
      <c r="A55" s="11" t="s">
        <v>189</v>
      </c>
      <c r="B55" s="8" t="s">
        <v>190</v>
      </c>
      <c r="C55" s="7" t="s">
        <v>55</v>
      </c>
      <c r="D55" s="19" t="e">
        <f ca="1">_xludf.XLOOKUP(C55, 'Restaurant Details'!$A$5:$A$14, 'Restaurant Details'!$B$5:$B$14)</f>
        <v>#NAME?</v>
      </c>
      <c r="E55" s="11" t="s">
        <v>33</v>
      </c>
      <c r="F55" s="11" t="s">
        <v>153</v>
      </c>
      <c r="G55" s="11" t="s">
        <v>153</v>
      </c>
      <c r="H55" s="20" t="str">
        <f t="shared" si="1"/>
        <v>Sunday</v>
      </c>
      <c r="I55" s="21">
        <v>39</v>
      </c>
      <c r="J55" s="22">
        <v>1491</v>
      </c>
      <c r="K55" s="22">
        <v>50</v>
      </c>
      <c r="L55" s="11" t="s">
        <v>68</v>
      </c>
    </row>
    <row r="56" spans="1:12" ht="16.5">
      <c r="A56" s="11" t="s">
        <v>191</v>
      </c>
      <c r="B56" s="8" t="s">
        <v>192</v>
      </c>
      <c r="C56" s="7" t="s">
        <v>75</v>
      </c>
      <c r="D56" s="19" t="e">
        <f ca="1">_xludf.XLOOKUP(C56, 'Restaurant Details'!$A$5:$A$14, 'Restaurant Details'!$B$5:$B$14)</f>
        <v>#NAME?</v>
      </c>
      <c r="E56" s="11" t="s">
        <v>22</v>
      </c>
      <c r="F56" s="11" t="s">
        <v>193</v>
      </c>
      <c r="G56" s="11" t="s">
        <v>193</v>
      </c>
      <c r="H56" s="20" t="str">
        <f t="shared" si="1"/>
        <v>Friday</v>
      </c>
      <c r="I56" s="21">
        <v>47</v>
      </c>
      <c r="J56" s="22">
        <v>1838</v>
      </c>
      <c r="K56" s="22">
        <v>50</v>
      </c>
      <c r="L56" s="11" t="s">
        <v>57</v>
      </c>
    </row>
    <row r="57" spans="1:12" ht="16.5">
      <c r="A57" s="11" t="s">
        <v>194</v>
      </c>
      <c r="B57" s="8" t="s">
        <v>195</v>
      </c>
      <c r="C57" s="7" t="s">
        <v>88</v>
      </c>
      <c r="D57" s="19" t="e">
        <f ca="1">_xludf.XLOOKUP(C57, 'Restaurant Details'!$A$5:$A$14, 'Restaurant Details'!$B$5:$B$14)</f>
        <v>#NAME?</v>
      </c>
      <c r="E57" s="11" t="s">
        <v>22</v>
      </c>
      <c r="F57" s="11" t="s">
        <v>61</v>
      </c>
      <c r="G57" s="11" t="s">
        <v>61</v>
      </c>
      <c r="H57" s="20" t="str">
        <f t="shared" si="1"/>
        <v>Tuesday</v>
      </c>
      <c r="I57" s="21">
        <v>36</v>
      </c>
      <c r="J57" s="22">
        <v>767</v>
      </c>
      <c r="K57" s="22">
        <v>50</v>
      </c>
      <c r="L57" s="11" t="s">
        <v>83</v>
      </c>
    </row>
    <row r="58" spans="1:12" ht="16.5">
      <c r="A58" s="11" t="s">
        <v>196</v>
      </c>
      <c r="B58" s="8" t="s">
        <v>197</v>
      </c>
      <c r="C58" s="7" t="s">
        <v>60</v>
      </c>
      <c r="D58" s="19" t="e">
        <f ca="1">_xludf.XLOOKUP(C58, 'Restaurant Details'!$A$5:$A$14, 'Restaurant Details'!$B$5:$B$14)</f>
        <v>#NAME?</v>
      </c>
      <c r="E58" s="11" t="s">
        <v>22</v>
      </c>
      <c r="F58" s="11" t="s">
        <v>112</v>
      </c>
      <c r="G58" s="11" t="s">
        <v>112</v>
      </c>
      <c r="H58" s="20" t="str">
        <f t="shared" si="1"/>
        <v>Thursday</v>
      </c>
      <c r="I58" s="21">
        <v>51</v>
      </c>
      <c r="J58" s="22">
        <v>1453</v>
      </c>
      <c r="K58" s="22">
        <v>50</v>
      </c>
      <c r="L58" s="11" t="s">
        <v>57</v>
      </c>
    </row>
    <row r="59" spans="1:12" ht="16.5">
      <c r="A59" s="11" t="s">
        <v>198</v>
      </c>
      <c r="B59" s="8" t="s">
        <v>199</v>
      </c>
      <c r="C59" s="7" t="s">
        <v>105</v>
      </c>
      <c r="D59" s="19" t="e">
        <f ca="1">_xludf.XLOOKUP(C59, 'Restaurant Details'!$A$5:$A$14, 'Restaurant Details'!$B$5:$B$14)</f>
        <v>#NAME?</v>
      </c>
      <c r="E59" s="11" t="s">
        <v>29</v>
      </c>
      <c r="F59" s="11" t="s">
        <v>109</v>
      </c>
      <c r="G59" s="11" t="s">
        <v>109</v>
      </c>
      <c r="H59" s="20" t="str">
        <f t="shared" si="1"/>
        <v>Sunday</v>
      </c>
      <c r="I59" s="21">
        <v>56</v>
      </c>
      <c r="J59" s="22">
        <v>390</v>
      </c>
      <c r="K59" s="22">
        <v>50</v>
      </c>
      <c r="L59" s="11" t="s">
        <v>68</v>
      </c>
    </row>
    <row r="60" spans="1:12" ht="16.5">
      <c r="A60" s="11" t="s">
        <v>200</v>
      </c>
      <c r="B60" s="8" t="s">
        <v>201</v>
      </c>
      <c r="C60" s="7" t="s">
        <v>105</v>
      </c>
      <c r="D60" s="19" t="e">
        <f ca="1">_xludf.XLOOKUP(C60, 'Restaurant Details'!$A$5:$A$14, 'Restaurant Details'!$B$5:$B$14)</f>
        <v>#NAME?</v>
      </c>
      <c r="E60" s="11" t="s">
        <v>29</v>
      </c>
      <c r="F60" s="11" t="s">
        <v>99</v>
      </c>
      <c r="G60" s="11" t="s">
        <v>99</v>
      </c>
      <c r="H60" s="20" t="str">
        <f t="shared" si="1"/>
        <v>Monday</v>
      </c>
      <c r="I60" s="21">
        <v>48</v>
      </c>
      <c r="J60" s="22">
        <v>1340</v>
      </c>
      <c r="K60" s="22">
        <v>40</v>
      </c>
      <c r="L60" s="23" t="s">
        <v>52</v>
      </c>
    </row>
    <row r="61" spans="1:12" ht="16.5">
      <c r="A61" s="11" t="s">
        <v>202</v>
      </c>
      <c r="B61" s="8" t="s">
        <v>203</v>
      </c>
      <c r="C61" s="7" t="s">
        <v>64</v>
      </c>
      <c r="D61" s="19" t="e">
        <f ca="1">_xludf.XLOOKUP(C61, 'Restaurant Details'!$A$5:$A$14, 'Restaurant Details'!$B$5:$B$14)</f>
        <v>#NAME?</v>
      </c>
      <c r="E61" s="11" t="s">
        <v>28</v>
      </c>
      <c r="F61" s="11" t="s">
        <v>118</v>
      </c>
      <c r="G61" s="11" t="s">
        <v>118</v>
      </c>
      <c r="H61" s="20" t="str">
        <f t="shared" si="1"/>
        <v>Tuesday</v>
      </c>
      <c r="I61" s="21">
        <v>56</v>
      </c>
      <c r="J61" s="22">
        <v>554</v>
      </c>
      <c r="K61" s="22">
        <v>30</v>
      </c>
      <c r="L61" s="11" t="s">
        <v>90</v>
      </c>
    </row>
    <row r="62" spans="1:12" ht="16.5">
      <c r="A62" s="11" t="s">
        <v>204</v>
      </c>
      <c r="B62" s="8" t="s">
        <v>205</v>
      </c>
      <c r="C62" s="7" t="s">
        <v>105</v>
      </c>
      <c r="D62" s="19" t="e">
        <f ca="1">_xludf.XLOOKUP(C62, 'Restaurant Details'!$A$5:$A$14, 'Restaurant Details'!$B$5:$B$14)</f>
        <v>#NAME?</v>
      </c>
      <c r="E62" s="11" t="s">
        <v>29</v>
      </c>
      <c r="F62" s="11" t="s">
        <v>109</v>
      </c>
      <c r="G62" s="11" t="s">
        <v>109</v>
      </c>
      <c r="H62" s="20" t="str">
        <f t="shared" si="1"/>
        <v>Sunday</v>
      </c>
      <c r="I62" s="21">
        <v>39</v>
      </c>
      <c r="J62" s="22">
        <v>887</v>
      </c>
      <c r="K62" s="22">
        <v>40</v>
      </c>
      <c r="L62" s="23" t="s">
        <v>52</v>
      </c>
    </row>
    <row r="63" spans="1:12" ht="16.5">
      <c r="A63" s="11" t="s">
        <v>206</v>
      </c>
      <c r="B63" s="8" t="s">
        <v>207</v>
      </c>
      <c r="C63" s="7" t="s">
        <v>88</v>
      </c>
      <c r="D63" s="19" t="e">
        <f ca="1">_xludf.XLOOKUP(C63, 'Restaurant Details'!$A$5:$A$14, 'Restaurant Details'!$B$5:$B$14)</f>
        <v>#NAME?</v>
      </c>
      <c r="E63" s="11" t="s">
        <v>22</v>
      </c>
      <c r="F63" s="11" t="s">
        <v>193</v>
      </c>
      <c r="G63" s="11" t="s">
        <v>193</v>
      </c>
      <c r="H63" s="20" t="str">
        <f t="shared" si="1"/>
        <v>Friday</v>
      </c>
      <c r="I63" s="21">
        <v>40</v>
      </c>
      <c r="J63" s="22">
        <v>656</v>
      </c>
      <c r="K63" s="22">
        <v>60</v>
      </c>
      <c r="L63" s="11" t="s">
        <v>57</v>
      </c>
    </row>
    <row r="64" spans="1:12" ht="16.5">
      <c r="A64" s="11" t="s">
        <v>208</v>
      </c>
      <c r="B64" s="8" t="s">
        <v>209</v>
      </c>
      <c r="C64" s="7" t="s">
        <v>71</v>
      </c>
      <c r="D64" s="19" t="e">
        <f ca="1">_xludf.XLOOKUP(C64, 'Restaurant Details'!$A$5:$A$14, 'Restaurant Details'!$B$5:$B$14)</f>
        <v>#NAME?</v>
      </c>
      <c r="E64" s="11" t="s">
        <v>22</v>
      </c>
      <c r="F64" s="11" t="s">
        <v>210</v>
      </c>
      <c r="G64" s="11" t="s">
        <v>210</v>
      </c>
      <c r="H64" s="20" t="str">
        <f t="shared" si="1"/>
        <v>Friday</v>
      </c>
      <c r="I64" s="21">
        <v>46</v>
      </c>
      <c r="J64" s="22">
        <v>1703</v>
      </c>
      <c r="K64" s="22">
        <v>30</v>
      </c>
      <c r="L64" s="23" t="s">
        <v>52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5"/>
  <cols>
    <col min="1" max="1" width="67" customWidth="1"/>
    <col min="2" max="2" width="21" customWidth="1"/>
    <col min="3" max="3" width="27" customWidth="1"/>
    <col min="4" max="4" width="14" customWidth="1"/>
    <col min="5" max="5" width="15" customWidth="1"/>
    <col min="6" max="6" width="14" customWidth="1"/>
  </cols>
  <sheetData>
    <row r="1" spans="1:6" ht="32" customHeight="1">
      <c r="A1" s="38" t="s">
        <v>211</v>
      </c>
      <c r="B1" s="36"/>
      <c r="C1" s="36"/>
      <c r="D1" s="36"/>
      <c r="E1" s="36"/>
      <c r="F1" s="36"/>
    </row>
    <row r="3" spans="1:6" ht="17.5">
      <c r="A3" s="1" t="s">
        <v>212</v>
      </c>
    </row>
    <row r="4" spans="1:6" ht="16.5">
      <c r="A4" s="24" t="s">
        <v>213</v>
      </c>
      <c r="B4" s="24" t="s">
        <v>17</v>
      </c>
      <c r="C4" s="24" t="s">
        <v>214</v>
      </c>
      <c r="D4" s="24" t="s">
        <v>215</v>
      </c>
      <c r="E4" s="24" t="s">
        <v>216</v>
      </c>
    </row>
    <row r="5" spans="1:6" ht="16.5">
      <c r="A5" s="7" t="s">
        <v>71</v>
      </c>
      <c r="B5" s="10" t="s">
        <v>217</v>
      </c>
      <c r="C5" s="8" t="s">
        <v>218</v>
      </c>
      <c r="D5" s="11" t="s">
        <v>22</v>
      </c>
      <c r="E5" s="25">
        <v>4.5</v>
      </c>
    </row>
    <row r="6" spans="1:6" ht="16.5">
      <c r="A6" s="7" t="s">
        <v>75</v>
      </c>
      <c r="B6" s="10" t="s">
        <v>219</v>
      </c>
      <c r="C6" s="8" t="s">
        <v>220</v>
      </c>
      <c r="D6" s="11" t="s">
        <v>22</v>
      </c>
      <c r="E6" s="25">
        <v>4.8</v>
      </c>
    </row>
    <row r="7" spans="1:6" ht="16.5">
      <c r="A7" s="7" t="s">
        <v>95</v>
      </c>
      <c r="B7" s="10" t="s">
        <v>27</v>
      </c>
      <c r="C7" s="8" t="s">
        <v>221</v>
      </c>
      <c r="D7" s="11" t="s">
        <v>25</v>
      </c>
      <c r="E7" s="25">
        <v>4.2</v>
      </c>
    </row>
    <row r="8" spans="1:6" ht="16.5">
      <c r="A8" s="7" t="s">
        <v>105</v>
      </c>
      <c r="B8" s="10" t="s">
        <v>24</v>
      </c>
      <c r="C8" s="8" t="s">
        <v>222</v>
      </c>
      <c r="D8" s="11" t="s">
        <v>29</v>
      </c>
      <c r="E8" s="25">
        <v>4.7</v>
      </c>
    </row>
    <row r="9" spans="1:6" ht="16.5">
      <c r="A9" s="7" t="s">
        <v>55</v>
      </c>
      <c r="B9" s="10" t="s">
        <v>223</v>
      </c>
      <c r="C9" s="8" t="s">
        <v>224</v>
      </c>
      <c r="D9" s="11" t="s">
        <v>33</v>
      </c>
      <c r="E9" s="25">
        <v>4.3</v>
      </c>
    </row>
    <row r="10" spans="1:6" ht="16.5">
      <c r="A10" s="7" t="s">
        <v>64</v>
      </c>
      <c r="B10" s="10" t="s">
        <v>225</v>
      </c>
      <c r="C10" s="8" t="s">
        <v>226</v>
      </c>
      <c r="D10" s="11" t="s">
        <v>28</v>
      </c>
      <c r="E10" s="25">
        <v>4.0999999999999996</v>
      </c>
    </row>
    <row r="11" spans="1:6" ht="16.5">
      <c r="A11" s="7" t="s">
        <v>60</v>
      </c>
      <c r="B11" s="10" t="s">
        <v>31</v>
      </c>
      <c r="C11" s="8" t="s">
        <v>227</v>
      </c>
      <c r="D11" s="11" t="s">
        <v>22</v>
      </c>
      <c r="E11" s="25">
        <v>4.5999999999999996</v>
      </c>
    </row>
    <row r="12" spans="1:6" ht="16.5">
      <c r="A12" s="7" t="s">
        <v>50</v>
      </c>
      <c r="B12" s="10" t="s">
        <v>228</v>
      </c>
      <c r="C12" s="8" t="s">
        <v>229</v>
      </c>
      <c r="D12" s="11" t="s">
        <v>32</v>
      </c>
      <c r="E12" s="25">
        <v>4.3</v>
      </c>
    </row>
    <row r="13" spans="1:6" ht="16.5">
      <c r="A13" s="7" t="s">
        <v>88</v>
      </c>
      <c r="B13" s="10" t="s">
        <v>230</v>
      </c>
      <c r="C13" s="8" t="s">
        <v>231</v>
      </c>
      <c r="D13" s="11" t="s">
        <v>22</v>
      </c>
      <c r="E13" s="25">
        <v>4.4000000000000004</v>
      </c>
    </row>
    <row r="14" spans="1:6" ht="16.5">
      <c r="A14" s="7" t="s">
        <v>130</v>
      </c>
      <c r="B14" s="10" t="s">
        <v>232</v>
      </c>
      <c r="C14" s="8" t="s">
        <v>233</v>
      </c>
      <c r="D14" s="11" t="s">
        <v>25</v>
      </c>
      <c r="E14" s="25">
        <v>4.7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4.5"/>
  <cols>
    <col min="1" max="1" width="73" customWidth="1"/>
    <col min="2" max="2" width="15" customWidth="1"/>
    <col min="3" max="3" width="29" customWidth="1"/>
    <col min="4" max="4" width="27" customWidth="1"/>
    <col min="5" max="5" width="18" customWidth="1"/>
    <col min="6" max="8" width="14" customWidth="1"/>
  </cols>
  <sheetData>
    <row r="1" spans="1:8" ht="32" customHeight="1">
      <c r="A1" s="38" t="s">
        <v>234</v>
      </c>
      <c r="B1" s="36"/>
      <c r="C1" s="36"/>
      <c r="D1" s="36"/>
      <c r="E1" s="36"/>
      <c r="F1" s="36"/>
      <c r="G1" s="36"/>
      <c r="H1" s="36"/>
    </row>
    <row r="3" spans="1:8" ht="17.5">
      <c r="A3" s="1" t="s">
        <v>235</v>
      </c>
    </row>
    <row r="4" spans="1:8" ht="16.5">
      <c r="A4" s="18" t="s">
        <v>236</v>
      </c>
      <c r="B4" s="18" t="s">
        <v>18</v>
      </c>
      <c r="C4" s="18" t="s">
        <v>20</v>
      </c>
      <c r="D4" s="18" t="s">
        <v>21</v>
      </c>
      <c r="E4" s="18" t="s">
        <v>237</v>
      </c>
    </row>
    <row r="5" spans="1:8" ht="16.5">
      <c r="A5" s="10" t="s">
        <v>22</v>
      </c>
      <c r="B5" s="11">
        <v>24</v>
      </c>
      <c r="C5" s="12">
        <v>950</v>
      </c>
      <c r="D5" s="13">
        <f t="shared" ref="D5:D11" si="0">C5/B5</f>
        <v>39.583333333333336</v>
      </c>
      <c r="E5" s="26">
        <f t="shared" ref="E5:E10" si="1">C5/$C$11</f>
        <v>0.3925619834710744</v>
      </c>
    </row>
    <row r="6" spans="1:8" ht="16.5">
      <c r="A6" s="10" t="s">
        <v>28</v>
      </c>
      <c r="B6" s="11">
        <v>6</v>
      </c>
      <c r="C6" s="12">
        <v>240</v>
      </c>
      <c r="D6" s="13">
        <f t="shared" si="0"/>
        <v>40</v>
      </c>
      <c r="E6" s="26">
        <f t="shared" si="1"/>
        <v>9.9173553719008267E-2</v>
      </c>
    </row>
    <row r="7" spans="1:8" ht="16.5">
      <c r="A7" s="10" t="s">
        <v>29</v>
      </c>
      <c r="B7" s="11">
        <v>8</v>
      </c>
      <c r="C7" s="12">
        <v>380</v>
      </c>
      <c r="D7" s="13">
        <f t="shared" si="0"/>
        <v>47.5</v>
      </c>
      <c r="E7" s="26">
        <f t="shared" si="1"/>
        <v>0.15702479338842976</v>
      </c>
    </row>
    <row r="8" spans="1:8" ht="16.5">
      <c r="A8" s="10" t="s">
        <v>25</v>
      </c>
      <c r="B8" s="11">
        <v>13</v>
      </c>
      <c r="C8" s="12">
        <v>420</v>
      </c>
      <c r="D8" s="13">
        <f t="shared" si="0"/>
        <v>32.307692307692307</v>
      </c>
      <c r="E8" s="26">
        <f t="shared" si="1"/>
        <v>0.17355371900826447</v>
      </c>
    </row>
    <row r="9" spans="1:8" ht="16.5">
      <c r="A9" s="10" t="s">
        <v>32</v>
      </c>
      <c r="B9" s="11">
        <v>4</v>
      </c>
      <c r="C9" s="12">
        <v>180</v>
      </c>
      <c r="D9" s="13">
        <f t="shared" si="0"/>
        <v>45</v>
      </c>
      <c r="E9" s="26">
        <f t="shared" si="1"/>
        <v>7.43801652892562E-2</v>
      </c>
    </row>
    <row r="10" spans="1:8" ht="16.5">
      <c r="A10" s="10" t="s">
        <v>33</v>
      </c>
      <c r="B10" s="11">
        <v>5</v>
      </c>
      <c r="C10" s="12">
        <v>250</v>
      </c>
      <c r="D10" s="13">
        <f t="shared" si="0"/>
        <v>50</v>
      </c>
      <c r="E10" s="26">
        <f t="shared" si="1"/>
        <v>0.10330578512396695</v>
      </c>
    </row>
    <row r="11" spans="1:8" ht="16.5">
      <c r="A11" s="14" t="s">
        <v>238</v>
      </c>
      <c r="B11" s="15">
        <f>SUM(B5:B10)</f>
        <v>60</v>
      </c>
      <c r="C11" s="16">
        <f>SUM(C5:C10)</f>
        <v>2420</v>
      </c>
      <c r="D11" s="17">
        <f t="shared" si="0"/>
        <v>40.333333333333336</v>
      </c>
      <c r="E11" s="15" t="s">
        <v>239</v>
      </c>
    </row>
  </sheetData>
  <mergeCells count="1"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4.5"/>
  <cols>
    <col min="1" max="1" width="34" customWidth="1"/>
    <col min="2" max="2" width="85" customWidth="1"/>
  </cols>
  <sheetData>
    <row r="1" spans="1:6" ht="32" customHeight="1">
      <c r="A1" s="38" t="s">
        <v>240</v>
      </c>
      <c r="B1" s="36"/>
      <c r="C1" s="36"/>
      <c r="D1" s="36"/>
      <c r="E1" s="36"/>
      <c r="F1" s="36"/>
    </row>
    <row r="3" spans="1:6" ht="17.5">
      <c r="A3" s="1" t="s">
        <v>241</v>
      </c>
    </row>
    <row r="4" spans="1:6" ht="16.5">
      <c r="A4" s="18" t="s">
        <v>242</v>
      </c>
      <c r="B4" s="18" t="s">
        <v>243</v>
      </c>
    </row>
    <row r="5" spans="1:6" ht="45" customHeight="1">
      <c r="A5" s="27" t="s">
        <v>244</v>
      </c>
      <c r="B5" s="28" t="s">
        <v>245</v>
      </c>
    </row>
    <row r="6" spans="1:6" ht="45" customHeight="1">
      <c r="A6" s="27" t="s">
        <v>246</v>
      </c>
      <c r="B6" s="28" t="s">
        <v>247</v>
      </c>
    </row>
    <row r="7" spans="1:6" ht="45" customHeight="1">
      <c r="A7" s="27" t="s">
        <v>248</v>
      </c>
      <c r="B7" s="28" t="s">
        <v>249</v>
      </c>
    </row>
    <row r="8" spans="1:6" ht="45" customHeight="1">
      <c r="A8" s="27" t="s">
        <v>250</v>
      </c>
      <c r="B8" s="28" t="s">
        <v>251</v>
      </c>
    </row>
    <row r="9" spans="1:6" ht="45" customHeight="1">
      <c r="A9" s="27" t="s">
        <v>252</v>
      </c>
      <c r="B9" s="28" t="s">
        <v>253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Mini Dashboard</vt:lpstr>
      <vt:lpstr>Cleaned Orders Data</vt:lpstr>
      <vt:lpstr>Restaurant Details</vt:lpstr>
      <vt:lpstr>Task 4 - City Summary</vt:lpstr>
      <vt:lpstr>Cleaning Log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2026-10-02T06:42:49Z</dcterms:created>
  <dcterms:modified xsi:type="dcterms:W3CDTF">2026-10-02T06:47:08Z</dcterms:modified>
</cp:coreProperties>
</file>