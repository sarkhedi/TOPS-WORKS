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9/"/>
    </mc:Choice>
  </mc:AlternateContent>
  <xr:revisionPtr revIDLastSave="1" documentId="11_72B8D0C818C0FD08770EB417FCC66137CA8C0D6E" xr6:coauthVersionLast="47" xr6:coauthVersionMax="47" xr10:uidLastSave="{5B43F60A-EE44-469D-ADD4-3A1F322B8C68}"/>
  <bookViews>
    <workbookView xWindow="-110" yWindow="-110" windowWidth="19420" windowHeight="11020" xr2:uid="{00000000-000D-0000-FFFF-FFFF00000000}"/>
  </bookViews>
  <sheets>
    <sheet name="Executive Dashboard" sheetId="1" r:id="rId1"/>
    <sheet name="Raw Orders" sheetId="2" r:id="rId2"/>
    <sheet name="Task 3 - Donut Chart" sheetId="3" r:id="rId3"/>
    <sheet name="Task 4 - Waterfall Analysis" sheetId="4" r:id="rId4"/>
    <sheet name="Design Principles Guide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C7" i="2"/>
  <c r="B7" i="2"/>
  <c r="C6" i="2"/>
  <c r="B6" i="2"/>
  <c r="C5" i="2"/>
  <c r="B5" i="2"/>
  <c r="K7" i="1"/>
  <c r="H7" i="1"/>
  <c r="E7" i="1"/>
  <c r="B7" i="1"/>
</calcChain>
</file>

<file path=xl/sharedStrings.xml><?xml version="1.0" encoding="utf-8"?>
<sst xmlns="http://schemas.openxmlformats.org/spreadsheetml/2006/main" count="361" uniqueCount="209">
  <si>
    <t>ZOMATO ANALYTICS DASHBOARD | PERFORMANCE &amp; FOOD DELIVERY INSIGHTS</t>
  </si>
  <si>
    <t>Reporting Period: Jan - Jun 2024  |  Region: Gujarat Metro (Ahmedabad, Vadodara, Surat)  |  Status: Real-Time Active</t>
  </si>
  <si>
    <t>SECTION 1: KEY PERFORMANCE INDICATORS (KPIs)</t>
  </si>
  <si>
    <t>MINIMUM ORDER VALUE</t>
  </si>
  <si>
    <t>AVERAGE ORDER VALUE</t>
  </si>
  <si>
    <t>MAXIMUM ORDER VALUE</t>
  </si>
  <si>
    <t>TOTAL ORDERS PROCESSED</t>
  </si>
  <si>
    <t>Lowest Ticket Size</t>
  </si>
  <si>
    <t>Benchmark Basket Size</t>
  </si>
  <si>
    <t>Peak Single Order</t>
  </si>
  <si>
    <t>Completed Deliveries</t>
  </si>
  <si>
    <t>SECTION 2: VISUAL TRENDS &amp; ADVANCED CHARTS</t>
  </si>
  <si>
    <t>Cuisine Type</t>
  </si>
  <si>
    <t>Orders Count</t>
  </si>
  <si>
    <t>Month</t>
  </si>
  <si>
    <t>Total Orders</t>
  </si>
  <si>
    <t>MoM Net Change</t>
  </si>
  <si>
    <t>North Indian / Mughlai</t>
  </si>
  <si>
    <t>January (Base)</t>
  </si>
  <si>
    <t>Biryani &amp; Kebabs</t>
  </si>
  <si>
    <t>February</t>
  </si>
  <si>
    <t>Chinese &amp; Pan-Asian</t>
  </si>
  <si>
    <t>March</t>
  </si>
  <si>
    <t>Italian &amp; Pizza</t>
  </si>
  <si>
    <t>April</t>
  </si>
  <si>
    <t>South Indian</t>
  </si>
  <si>
    <t>May</t>
  </si>
  <si>
    <t>Desserts &amp; Beverages</t>
  </si>
  <si>
    <t>June (Peak)</t>
  </si>
  <si>
    <t>SECTION 3: EXECUTIVE INSIGHTS &amp; STRATEGIC RECOMMENDATIONS</t>
  </si>
  <si>
    <t>📌 North Indian &amp; Biryani Drive 52% of Revenue:</t>
  </si>
  <si>
    <t>Mughlai and Biryani dominate customer demand; launch exclusive bundled meal deals on weekends.</t>
  </si>
  <si>
    <t>📈 Strong Positive Momentum (+50.7% Jan-Jun):</t>
  </si>
  <si>
    <t>Total monthly order volume grew from 14,200 in January to an all-time high of 21,400 in June.</t>
  </si>
  <si>
    <t>⚠️ April Seasonal Dip Identified:</t>
  </si>
  <si>
    <t>Orders declined by 1,300 in April due to exam season; counter with student discount campaigns in future cycles.</t>
  </si>
  <si>
    <t>💡 Ticket Size Expansion Strategy:</t>
  </si>
  <si>
    <t>Average Order Value stands at ₹780+; introduce minimum-spend thresholds (e.g. ₹699) for free delivery to push AOV higher.</t>
  </si>
  <si>
    <t>Task 2: Food Delivery Orders Dataset &amp; Standalone KPI Calculations</t>
  </si>
  <si>
    <t>1. Standalone KPI Cards (Formulas Used)</t>
  </si>
  <si>
    <t>Metric Name</t>
  </si>
  <si>
    <t>Formula Used</t>
  </si>
  <si>
    <t>Calculated Value</t>
  </si>
  <si>
    <t>Description</t>
  </si>
  <si>
    <t>Minimum Order Value (Min)</t>
  </si>
  <si>
    <t>Lowest order amount recorded in sample</t>
  </si>
  <si>
    <t>Average Order Value (Average)</t>
  </si>
  <si>
    <t>Mean basket size across 50 orders</t>
  </si>
  <si>
    <t>Maximum Order Value (Max)</t>
  </si>
  <si>
    <t>Highest single bulk order amount</t>
  </si>
  <si>
    <t>2. Sample Food Delivery Orders (50 Records)</t>
  </si>
  <si>
    <t>Order ID</t>
  </si>
  <si>
    <t>Customer Name</t>
  </si>
  <si>
    <t>Restaurant</t>
  </si>
  <si>
    <t>Cuisine</t>
  </si>
  <si>
    <t>City</t>
  </si>
  <si>
    <t>Order Amount (₹)</t>
  </si>
  <si>
    <t>ORD-70001</t>
  </si>
  <si>
    <t>Customer 1</t>
  </si>
  <si>
    <t>Subway</t>
  </si>
  <si>
    <t>Healthy Sandwiches</t>
  </si>
  <si>
    <t>Ahmedabad</t>
  </si>
  <si>
    <t>ORD-70002</t>
  </si>
  <si>
    <t>Customer 2</t>
  </si>
  <si>
    <t>ORD-70003</t>
  </si>
  <si>
    <t>Customer 3</t>
  </si>
  <si>
    <t>Behrouz Biryani</t>
  </si>
  <si>
    <t>Biryani</t>
  </si>
  <si>
    <t>Vadodara</t>
  </si>
  <si>
    <t>ORD-70004</t>
  </si>
  <si>
    <t>Customer 4</t>
  </si>
  <si>
    <t>Honest</t>
  </si>
  <si>
    <t>North Indian</t>
  </si>
  <si>
    <t>ORD-70005</t>
  </si>
  <si>
    <t>Customer 5</t>
  </si>
  <si>
    <t>La Pinoz Pizza</t>
  </si>
  <si>
    <t>Italian</t>
  </si>
  <si>
    <t>ORD-70006</t>
  </si>
  <si>
    <t>Customer 6</t>
  </si>
  <si>
    <t>ORD-70007</t>
  </si>
  <si>
    <t>Customer 7</t>
  </si>
  <si>
    <t>Gordhan Thal</t>
  </si>
  <si>
    <t>Gujarati Thali</t>
  </si>
  <si>
    <t>ORD-70008</t>
  </si>
  <si>
    <t>Customer 8</t>
  </si>
  <si>
    <t>ORD-70009</t>
  </si>
  <si>
    <t>Customer 9</t>
  </si>
  <si>
    <t>ORD-70010</t>
  </si>
  <si>
    <t>Customer 10</t>
  </si>
  <si>
    <t>Surat</t>
  </si>
  <si>
    <t>ORD-70011</t>
  </si>
  <si>
    <t>Customer 11</t>
  </si>
  <si>
    <t>Burger King</t>
  </si>
  <si>
    <t>Fast Food</t>
  </si>
  <si>
    <t>ORD-70012</t>
  </si>
  <si>
    <t>Customer 12</t>
  </si>
  <si>
    <t>ORD-70013</t>
  </si>
  <si>
    <t>Customer 13</t>
  </si>
  <si>
    <t>ORD-70014</t>
  </si>
  <si>
    <t>Customer 14</t>
  </si>
  <si>
    <t>ORD-70015</t>
  </si>
  <si>
    <t>Customer 15</t>
  </si>
  <si>
    <t>ORD-70016</t>
  </si>
  <si>
    <t>Customer 16</t>
  </si>
  <si>
    <t>ORD-70017</t>
  </si>
  <si>
    <t>Customer 17</t>
  </si>
  <si>
    <t>ORD-70018</t>
  </si>
  <si>
    <t>Customer 18</t>
  </si>
  <si>
    <t>ORD-70019</t>
  </si>
  <si>
    <t>Customer 19</t>
  </si>
  <si>
    <t>ORD-70020</t>
  </si>
  <si>
    <t>Customer 20</t>
  </si>
  <si>
    <t>ORD-70021</t>
  </si>
  <si>
    <t>Customer 21</t>
  </si>
  <si>
    <t>ORD-70022</t>
  </si>
  <si>
    <t>Customer 22</t>
  </si>
  <si>
    <t>ORD-70023</t>
  </si>
  <si>
    <t>Customer 23</t>
  </si>
  <si>
    <t>ORD-70024</t>
  </si>
  <si>
    <t>Customer 24</t>
  </si>
  <si>
    <t>ORD-70025</t>
  </si>
  <si>
    <t>Customer 25</t>
  </si>
  <si>
    <t>ORD-70026</t>
  </si>
  <si>
    <t>Customer 26</t>
  </si>
  <si>
    <t>ORD-70027</t>
  </si>
  <si>
    <t>Customer 27</t>
  </si>
  <si>
    <t>ORD-70028</t>
  </si>
  <si>
    <t>Customer 28</t>
  </si>
  <si>
    <t>ORD-70029</t>
  </si>
  <si>
    <t>Customer 29</t>
  </si>
  <si>
    <t>ORD-70030</t>
  </si>
  <si>
    <t>Customer 30</t>
  </si>
  <si>
    <t>ORD-70031</t>
  </si>
  <si>
    <t>Customer 31</t>
  </si>
  <si>
    <t>ORD-70032</t>
  </si>
  <si>
    <t>Customer 32</t>
  </si>
  <si>
    <t>ORD-70033</t>
  </si>
  <si>
    <t>Customer 33</t>
  </si>
  <si>
    <t>ORD-70034</t>
  </si>
  <si>
    <t>Customer 34</t>
  </si>
  <si>
    <t>ORD-70035</t>
  </si>
  <si>
    <t>Customer 35</t>
  </si>
  <si>
    <t>ORD-70036</t>
  </si>
  <si>
    <t>Customer 36</t>
  </si>
  <si>
    <t>ORD-70037</t>
  </si>
  <si>
    <t>Customer 37</t>
  </si>
  <si>
    <t>ORD-70038</t>
  </si>
  <si>
    <t>Customer 38</t>
  </si>
  <si>
    <t>ORD-70039</t>
  </si>
  <si>
    <t>Customer 39</t>
  </si>
  <si>
    <t>ORD-70040</t>
  </si>
  <si>
    <t>Customer 40</t>
  </si>
  <si>
    <t>ORD-70041</t>
  </si>
  <si>
    <t>Customer 41</t>
  </si>
  <si>
    <t>ORD-70042</t>
  </si>
  <si>
    <t>Customer 42</t>
  </si>
  <si>
    <t>ORD-70043</t>
  </si>
  <si>
    <t>Customer 43</t>
  </si>
  <si>
    <t>ORD-70044</t>
  </si>
  <si>
    <t>Customer 44</t>
  </si>
  <si>
    <t>ORD-70045</t>
  </si>
  <si>
    <t>Customer 45</t>
  </si>
  <si>
    <t>ORD-70046</t>
  </si>
  <si>
    <t>Customer 46</t>
  </si>
  <si>
    <t>ORD-70047</t>
  </si>
  <si>
    <t>Customer 47</t>
  </si>
  <si>
    <t>ORD-70048</t>
  </si>
  <si>
    <t>Customer 48</t>
  </si>
  <si>
    <t>ORD-70049</t>
  </si>
  <si>
    <t>Customer 49</t>
  </si>
  <si>
    <t>ORD-70050</t>
  </si>
  <si>
    <t>Customer 50</t>
  </si>
  <si>
    <t>Task 3: Modern App-Style Donut Chart (Cuisine Proportions)</t>
  </si>
  <si>
    <t>Cuisine Breakdown Dataset</t>
  </si>
  <si>
    <t>Cuisine Category</t>
  </si>
  <si>
    <t>Percentage Share</t>
  </si>
  <si>
    <t>Grand Total</t>
  </si>
  <si>
    <t>100.0%</t>
  </si>
  <si>
    <t>📌 Modern App Styling Notes:</t>
  </si>
  <si>
    <t>• 60% inner hole size creates a sleek, contemporary donut appearance.</t>
  </si>
  <si>
    <t>• Percentage labels displayed directly on segments for effortless mobile/desktop reading.</t>
  </si>
  <si>
    <t>Task 4: Month-on-Month Order Variance &amp; Waterfall Trend (Swiggy / Zomato Model)</t>
  </si>
  <si>
    <t>Month-on-Month Order Progression Dataset</t>
  </si>
  <si>
    <t>Timeline Month</t>
  </si>
  <si>
    <t>MoM Change (+/-)</t>
  </si>
  <si>
    <t>Variance %</t>
  </si>
  <si>
    <t>Status / Direction</t>
  </si>
  <si>
    <t>Baseline</t>
  </si>
  <si>
    <t>Starting Period</t>
  </si>
  <si>
    <t>▲ Growth Increase</t>
  </si>
  <si>
    <t>▼ Seasonal Dip</t>
  </si>
  <si>
    <t>📌 How to Apply Native Waterfall Chart in Excel:</t>
  </si>
  <si>
    <t>1. Select the Table range (Columns A and C with Months and Net Change).</t>
  </si>
  <si>
    <t>2. Go to Insert tab -&gt; Waterfall, Funnel, Stock, Surface, or Radar Chart icon.</t>
  </si>
  <si>
    <t>3. Select "Waterfall". Excel automatically renders positive bars green and negative bars red!</t>
  </si>
  <si>
    <t>Task 5: Dashboard Layout, Alignment, Spacing &amp; Color Theory Principles</t>
  </si>
  <si>
    <t>Executive Design Guide Applied in This Dashboard</t>
  </si>
  <si>
    <t>Design Principle</t>
  </si>
  <si>
    <t>Practical Implementation in Dashboard</t>
  </si>
  <si>
    <t>1. Visual Hierarchy (Header -&gt; KPIs -&gt; Trends -&gt; Insights)</t>
  </si>
  <si>
    <t>Information flows logically from Top-to-Bottom: The eye first captures high-level executive KPIs (Min, Avg, Max), then explores visual trends via charts, and ends with actionable business insights.</t>
  </si>
  <si>
    <t>2. Color Theory (Zomato App Palette)</t>
  </si>
  <si>
    <t>Used a disciplined 60-30-10 color rule: 60% clean canvas (white &amp; light gray), 30% structural contrast (deep charcoal headers &amp; subtle borders), and 10% focal accent (Zomato signature red #E23744) to draw focus without visual fatigue.</t>
  </si>
  <si>
    <t>3. Alignment &amp; Grid Uniformity</t>
  </si>
  <si>
    <t>Every card, chart, and table is strictly snapped to uniform Excel grid boundaries with standard row heights (32px for KPI values, 24px for table rows) ensuring zero visual clutter.</t>
  </si>
  <si>
    <t>4. Consistent Whitespace &amp; Padding</t>
  </si>
  <si>
    <t>Maintained 1 to 2 empty row and column margins between distinct dashboard modules to give the design "breathing room" matching modern UI/UX standards.</t>
  </si>
  <si>
    <t>5. High Signal-to-Noise Ratio</t>
  </si>
  <si>
    <t>Eliminated unnecessary 3D effects, garish backgrounds, and heavy borders. Substituted them with clean flat cards, subtle tints, and precise KaTeX/number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</si>
</sst>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.0"/>
    <numFmt numFmtId="165" formatCode="#,##0\ &quot;Orders&quot;"/>
    <numFmt numFmtId="166" formatCode="\+#,##0;\-#,##0;0"/>
    <numFmt numFmtId="167" formatCode="\₹#,##0"/>
    <numFmt numFmtId="168" formatCode="0.0%"/>
    <numFmt numFmtId="169" formatCode="\+0.0%;\-0.0%;0.0%"/>
  </numFmts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0"/>
      <color rgb="FFFFFFFF"/>
      <name val="Segoe UI"/>
      <family val="2"/>
    </font>
    <font>
      <b/>
      <sz val="12"/>
      <color rgb="FF1C1C1C"/>
      <name val="Segoe UI"/>
      <family val="2"/>
    </font>
    <font>
      <b/>
      <sz val="10"/>
      <color rgb="FF666666"/>
      <name val="Segoe UI"/>
      <family val="2"/>
    </font>
    <font>
      <b/>
      <sz val="18"/>
      <color rgb="FFE23744"/>
      <name val="Segoe UI"/>
      <family val="2"/>
    </font>
    <font>
      <i/>
      <sz val="9"/>
      <color rgb="FF888888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color rgb="FF2E7D32"/>
      <name val="Segoe UI"/>
      <family val="2"/>
    </font>
    <font>
      <b/>
      <sz val="11"/>
      <color rgb="FFC62828"/>
      <name val="Segoe UI"/>
      <family val="2"/>
    </font>
    <font>
      <b/>
      <sz val="11"/>
      <color rgb="FFE23744"/>
      <name val="Segoe UI"/>
      <family val="2"/>
    </font>
    <font>
      <b/>
      <sz val="14"/>
      <color rgb="FFFFFFFF"/>
      <name val="Segoe UI"/>
      <family val="2"/>
    </font>
    <font>
      <b/>
      <sz val="13"/>
      <color rgb="FF1C1C1C"/>
      <name val="Segoe UI"/>
      <family val="2"/>
    </font>
    <font>
      <i/>
      <sz val="10"/>
      <color rgb="FF555555"/>
      <name val="Segoe UI"/>
      <family val="2"/>
    </font>
    <font>
      <b/>
      <sz val="12"/>
      <color rgb="FFE23744"/>
      <name val="Segoe UI"/>
      <family val="2"/>
    </font>
    <font>
      <b/>
      <sz val="10"/>
      <color rgb="FF2E7D32"/>
      <name val="Segoe UI"/>
      <family val="2"/>
    </font>
    <font>
      <b/>
      <sz val="10"/>
      <color rgb="FFC6282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23744"/>
        <bgColor rgb="FFE23744"/>
      </patternFill>
    </fill>
    <fill>
      <patternFill patternType="solid">
        <fgColor rgb="FF4A0E17"/>
        <bgColor rgb="FF4A0E17"/>
      </patternFill>
    </fill>
    <fill>
      <patternFill patternType="solid">
        <fgColor rgb="FFFDE8E9"/>
        <bgColor rgb="FFFDE8E9"/>
      </patternFill>
    </fill>
    <fill>
      <patternFill patternType="solid">
        <fgColor rgb="FF1C1C1C"/>
        <bgColor rgb="FF1C1C1C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8" fillId="0" borderId="1" xfId="0" applyFont="1" applyBorder="1"/>
    <xf numFmtId="3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6" fontId="10" fillId="6" borderId="1" xfId="0" applyNumberFormat="1" applyFont="1" applyFill="1" applyBorder="1" applyAlignment="1">
      <alignment horizontal="right"/>
    </xf>
    <xf numFmtId="166" fontId="11" fillId="7" borderId="1" xfId="0" applyNumberFormat="1" applyFont="1" applyFill="1" applyBorder="1" applyAlignment="1">
      <alignment horizontal="right"/>
    </xf>
    <xf numFmtId="0" fontId="12" fillId="0" borderId="0" xfId="0" applyFont="1"/>
    <xf numFmtId="0" fontId="14" fillId="0" borderId="0" xfId="0" applyFont="1"/>
    <xf numFmtId="0" fontId="9" fillId="0" borderId="1" xfId="0" applyFont="1" applyBorder="1"/>
    <xf numFmtId="0" fontId="15" fillId="0" borderId="1" xfId="0" applyFont="1" applyBorder="1"/>
    <xf numFmtId="164" fontId="16" fillId="4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7" fontId="9" fillId="0" borderId="1" xfId="0" applyNumberFormat="1" applyFont="1" applyBorder="1" applyAlignment="1">
      <alignment horizontal="right"/>
    </xf>
    <xf numFmtId="0" fontId="7" fillId="2" borderId="1" xfId="0" applyFont="1" applyFill="1" applyBorder="1"/>
    <xf numFmtId="3" fontId="8" fillId="0" borderId="1" xfId="0" applyNumberFormat="1" applyFont="1" applyBorder="1" applyAlignment="1">
      <alignment horizontal="right"/>
    </xf>
    <xf numFmtId="168" fontId="9" fillId="0" borderId="1" xfId="0" applyNumberFormat="1" applyFont="1" applyBorder="1" applyAlignment="1">
      <alignment horizontal="center"/>
    </xf>
    <xf numFmtId="3" fontId="7" fillId="5" borderId="1" xfId="0" applyNumberFormat="1" applyFont="1" applyFill="1" applyBorder="1" applyAlignment="1">
      <alignment horizontal="right"/>
    </xf>
    <xf numFmtId="0" fontId="9" fillId="0" borderId="0" xfId="0" applyFont="1"/>
    <xf numFmtId="0" fontId="15" fillId="0" borderId="0" xfId="0" applyFont="1"/>
    <xf numFmtId="0" fontId="0" fillId="0" borderId="1" xfId="0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0" xfId="0" applyFont="1" applyAlignment="1">
      <alignment horizontal="left" vertical="center"/>
    </xf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165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Order Distribution by Cuisine (Donut Chart)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Dashboard'!$B$11</c:f>
              <c:strCache>
                <c:ptCount val="1"/>
                <c:pt idx="0">
                  <c:v>Orders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Dashboard'!$A$12:$A$17</c:f>
              <c:strCache>
                <c:ptCount val="6"/>
                <c:pt idx="0">
                  <c:v>North Indian / Mughlai</c:v>
                </c:pt>
                <c:pt idx="1">
                  <c:v>Biryani &amp; Kebabs</c:v>
                </c:pt>
                <c:pt idx="2">
                  <c:v>Chinese &amp; Pan-Asian</c:v>
                </c:pt>
                <c:pt idx="3">
                  <c:v>Italian &amp; Pizza</c:v>
                </c:pt>
                <c:pt idx="4">
                  <c:v>South Indian</c:v>
                </c:pt>
                <c:pt idx="5">
                  <c:v>Desserts &amp; Beverages</c:v>
                </c:pt>
              </c:strCache>
            </c:strRef>
          </c:cat>
          <c:val>
            <c:numRef>
              <c:f>'Executive Dashboard'!$B$12:$B$17</c:f>
              <c:numCache>
                <c:formatCode>#,##0</c:formatCode>
                <c:ptCount val="6"/>
                <c:pt idx="0">
                  <c:v>4850</c:v>
                </c:pt>
                <c:pt idx="1">
                  <c:v>3920</c:v>
                </c:pt>
                <c:pt idx="2">
                  <c:v>2740</c:v>
                </c:pt>
                <c:pt idx="3">
                  <c:v>2410</c:v>
                </c:pt>
                <c:pt idx="4">
                  <c:v>1650</c:v>
                </c:pt>
                <c:pt idx="5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9-40B0-810D-996DF43C9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Month-on-Month Order Growth (Waterfall Variance)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Dashboard'!$I$11</c:f>
              <c:strCache>
                <c:ptCount val="1"/>
                <c:pt idx="0">
                  <c:v>Total 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Dashboard'!$H$12:$H$17</c:f>
              <c:strCache>
                <c:ptCount val="6"/>
                <c:pt idx="0">
                  <c:v>January (Base)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 (Peak)</c:v>
                </c:pt>
              </c:strCache>
            </c:strRef>
          </c:cat>
          <c:val>
            <c:numRef>
              <c:f>'Executive Dashboard'!$I$12:$I$17</c:f>
              <c:numCache>
                <c:formatCode>#,##0</c:formatCode>
                <c:ptCount val="6"/>
                <c:pt idx="0">
                  <c:v>14200</c:v>
                </c:pt>
                <c:pt idx="1">
                  <c:v>15800</c:v>
                </c:pt>
                <c:pt idx="2">
                  <c:v>17400</c:v>
                </c:pt>
                <c:pt idx="3">
                  <c:v>16100</c:v>
                </c:pt>
                <c:pt idx="4">
                  <c:v>18900</c:v>
                </c:pt>
                <c:pt idx="5">
                  <c:v>21400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5-444E-A772-4F8E8F7C3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Monthly Orders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Cuisine Share (Zomato Mobile App Style)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'Task 3 - Donut Chart'!$B$4</c:f>
              <c:strCache>
                <c:ptCount val="1"/>
                <c:pt idx="0">
                  <c:v>Total 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'Task 3 - Donut Chart'!$A$5:$A$10</c:f>
              <c:strCache>
                <c:ptCount val="6"/>
                <c:pt idx="0">
                  <c:v>North Indian / Mughlai</c:v>
                </c:pt>
                <c:pt idx="1">
                  <c:v>Biryani &amp; Kebabs</c:v>
                </c:pt>
                <c:pt idx="2">
                  <c:v>Chinese &amp; Pan-Asian</c:v>
                </c:pt>
                <c:pt idx="3">
                  <c:v>Italian &amp; Pizza</c:v>
                </c:pt>
                <c:pt idx="4">
                  <c:v>South Indian</c:v>
                </c:pt>
                <c:pt idx="5">
                  <c:v>Desserts &amp; Beverages</c:v>
                </c:pt>
              </c:strCache>
            </c:strRef>
          </c:cat>
          <c:val>
            <c:numRef>
              <c:f>'Task 3 - Donut Chart'!$B$5:$B$10</c:f>
              <c:numCache>
                <c:formatCode>#,##0</c:formatCode>
                <c:ptCount val="6"/>
                <c:pt idx="0">
                  <c:v>4850</c:v>
                </c:pt>
                <c:pt idx="1">
                  <c:v>3920</c:v>
                </c:pt>
                <c:pt idx="2">
                  <c:v>2740</c:v>
                </c:pt>
                <c:pt idx="3">
                  <c:v>2410</c:v>
                </c:pt>
                <c:pt idx="4">
                  <c:v>1650</c:v>
                </c:pt>
                <c:pt idx="5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1B2-9C27-8BD3B63836D2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t>Monthly Order Growth Progression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'Task 4 - Waterfall Analysis'!$B$4</c:f>
              <c:strCache>
                <c:ptCount val="1"/>
                <c:pt idx="0">
                  <c:v>Total 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4 - Waterfall Analysis'!$A$5:$A$10</c:f>
              <c:strCache>
                <c:ptCount val="6"/>
                <c:pt idx="0">
                  <c:v>January (Base)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 (Peak)</c:v>
                </c:pt>
              </c:strCache>
            </c:strRef>
          </c:cat>
          <c:val>
            <c:numRef>
              <c:f>'Task 4 - Waterfall Analysis'!$B$5:$B$10</c:f>
              <c:numCache>
                <c:formatCode>#,##0</c:formatCode>
                <c:ptCount val="6"/>
                <c:pt idx="0">
                  <c:v>14200</c:v>
                </c:pt>
                <c:pt idx="1">
                  <c:v>15800</c:v>
                </c:pt>
                <c:pt idx="2">
                  <c:v>17400</c:v>
                </c:pt>
                <c:pt idx="3">
                  <c:v>16100</c:v>
                </c:pt>
                <c:pt idx="4">
                  <c:v>18900</c:v>
                </c:pt>
                <c:pt idx="5">
                  <c:v>21400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C-4948-87C1-F11BFA694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Total Order Volume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0</xdr:rowOff>
    </xdr:from>
    <xdr:ext cx="54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10</xdr:row>
      <xdr:rowOff>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sqref="A1:L2"/>
    </sheetView>
  </sheetViews>
  <sheetFormatPr defaultRowHeight="14.5" x14ac:dyDescent="0.35"/>
  <cols>
    <col min="1" max="1" width="24" customWidth="1"/>
    <col min="2" max="2" width="16" customWidth="1"/>
    <col min="3" max="6" width="18" customWidth="1"/>
    <col min="7" max="7" width="16" customWidth="1"/>
    <col min="8" max="8" width="20" customWidth="1"/>
    <col min="9" max="9" width="16" customWidth="1"/>
    <col min="10" max="12" width="18" customWidth="1"/>
  </cols>
  <sheetData>
    <row r="1" spans="1:12" ht="24" customHeight="1" x14ac:dyDescent="0.35">
      <c r="A1" s="37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4" customHeight="1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20" customHeight="1" x14ac:dyDescent="0.35">
      <c r="A3" s="38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5" spans="1:12" ht="17.5" x14ac:dyDescent="0.45">
      <c r="A5" s="1" t="s">
        <v>2</v>
      </c>
    </row>
    <row r="6" spans="1:12" ht="20" customHeight="1" x14ac:dyDescent="0.35">
      <c r="B6" s="32" t="s">
        <v>3</v>
      </c>
      <c r="C6" s="33"/>
      <c r="E6" s="32" t="s">
        <v>4</v>
      </c>
      <c r="F6" s="33"/>
      <c r="H6" s="32" t="s">
        <v>5</v>
      </c>
      <c r="I6" s="33"/>
      <c r="K6" s="32" t="s">
        <v>6</v>
      </c>
      <c r="L6" s="33"/>
    </row>
    <row r="7" spans="1:12" ht="32" customHeight="1" x14ac:dyDescent="0.35">
      <c r="B7" s="35">
        <f>MIN('Raw Orders'!F5:F54)</f>
        <v>328</v>
      </c>
      <c r="C7" s="33"/>
      <c r="E7" s="35">
        <f>AVERAGE('Raw Orders'!F5:F54)</f>
        <v>1257.7441860465117</v>
      </c>
      <c r="F7" s="33"/>
      <c r="H7" s="35">
        <f>MAX('Raw Orders'!F5:F54)</f>
        <v>2427</v>
      </c>
      <c r="I7" s="33"/>
      <c r="K7" s="34">
        <f>COUNT('Raw Orders'!F5:F54)</f>
        <v>43</v>
      </c>
      <c r="L7" s="33"/>
    </row>
    <row r="8" spans="1:12" ht="20" customHeight="1" x14ac:dyDescent="0.35">
      <c r="B8" s="36" t="s">
        <v>7</v>
      </c>
      <c r="C8" s="33"/>
      <c r="E8" s="36" t="s">
        <v>8</v>
      </c>
      <c r="F8" s="33"/>
      <c r="H8" s="36" t="s">
        <v>9</v>
      </c>
      <c r="I8" s="33"/>
      <c r="K8" s="36" t="s">
        <v>10</v>
      </c>
      <c r="L8" s="33"/>
    </row>
    <row r="10" spans="1:12" ht="17.5" x14ac:dyDescent="0.45">
      <c r="A10" s="1" t="s">
        <v>11</v>
      </c>
    </row>
    <row r="11" spans="1:12" ht="16.5" x14ac:dyDescent="0.45">
      <c r="A11" s="2" t="s">
        <v>12</v>
      </c>
      <c r="B11" s="3" t="s">
        <v>13</v>
      </c>
      <c r="H11" s="2" t="s">
        <v>14</v>
      </c>
      <c r="I11" s="3" t="s">
        <v>15</v>
      </c>
      <c r="J11" s="3" t="s">
        <v>16</v>
      </c>
    </row>
    <row r="12" spans="1:12" ht="16.5" x14ac:dyDescent="0.45">
      <c r="A12" s="4" t="s">
        <v>17</v>
      </c>
      <c r="B12" s="5">
        <v>4850</v>
      </c>
      <c r="H12" s="4" t="s">
        <v>18</v>
      </c>
      <c r="I12" s="5">
        <v>14200</v>
      </c>
      <c r="J12" s="6">
        <v>14200</v>
      </c>
    </row>
    <row r="13" spans="1:12" ht="16.5" x14ac:dyDescent="0.45">
      <c r="A13" s="4" t="s">
        <v>19</v>
      </c>
      <c r="B13" s="5">
        <v>3920</v>
      </c>
      <c r="H13" s="4" t="s">
        <v>20</v>
      </c>
      <c r="I13" s="5">
        <v>15800</v>
      </c>
      <c r="J13" s="7">
        <v>1600</v>
      </c>
    </row>
    <row r="14" spans="1:12" ht="16.5" x14ac:dyDescent="0.45">
      <c r="A14" s="4" t="s">
        <v>21</v>
      </c>
      <c r="B14" s="5">
        <v>2740</v>
      </c>
      <c r="H14" s="4" t="s">
        <v>22</v>
      </c>
      <c r="I14" s="5">
        <v>17400</v>
      </c>
      <c r="J14" s="7">
        <v>1600</v>
      </c>
    </row>
    <row r="15" spans="1:12" ht="16.5" x14ac:dyDescent="0.45">
      <c r="A15" s="4" t="s">
        <v>23</v>
      </c>
      <c r="B15" s="5">
        <v>2410</v>
      </c>
      <c r="H15" s="4" t="s">
        <v>24</v>
      </c>
      <c r="I15" s="5">
        <v>16100</v>
      </c>
      <c r="J15" s="8">
        <v>-1300</v>
      </c>
    </row>
    <row r="16" spans="1:12" ht="16.5" x14ac:dyDescent="0.45">
      <c r="A16" s="4" t="s">
        <v>25</v>
      </c>
      <c r="B16" s="5">
        <v>1650</v>
      </c>
      <c r="H16" s="4" t="s">
        <v>26</v>
      </c>
      <c r="I16" s="5">
        <v>18900</v>
      </c>
      <c r="J16" s="7">
        <v>2800</v>
      </c>
    </row>
    <row r="17" spans="1:12" ht="16.5" x14ac:dyDescent="0.45">
      <c r="A17" s="4" t="s">
        <v>27</v>
      </c>
      <c r="B17" s="5">
        <v>1180</v>
      </c>
      <c r="H17" s="4" t="s">
        <v>28</v>
      </c>
      <c r="I17" s="5">
        <v>21400</v>
      </c>
      <c r="J17" s="7">
        <v>2500</v>
      </c>
    </row>
    <row r="24" spans="1:12" ht="17.5" x14ac:dyDescent="0.45">
      <c r="A24" s="1" t="s">
        <v>29</v>
      </c>
    </row>
    <row r="25" spans="1:12" ht="24" customHeight="1" x14ac:dyDescent="0.45">
      <c r="A25" s="9" t="s">
        <v>30</v>
      </c>
      <c r="C25" s="30" t="s">
        <v>31</v>
      </c>
      <c r="D25" s="31"/>
      <c r="E25" s="31"/>
      <c r="F25" s="31"/>
      <c r="G25" s="31"/>
      <c r="H25" s="31"/>
      <c r="I25" s="31"/>
      <c r="J25" s="31"/>
      <c r="K25" s="31"/>
      <c r="L25" s="31"/>
    </row>
    <row r="26" spans="1:12" ht="24" customHeight="1" x14ac:dyDescent="0.45">
      <c r="A26" s="9" t="s">
        <v>32</v>
      </c>
      <c r="C26" s="30" t="s">
        <v>33</v>
      </c>
      <c r="D26" s="31"/>
      <c r="E26" s="31"/>
      <c r="F26" s="31"/>
      <c r="G26" s="31"/>
      <c r="H26" s="31"/>
      <c r="I26" s="31"/>
      <c r="J26" s="31"/>
      <c r="K26" s="31"/>
      <c r="L26" s="31"/>
    </row>
    <row r="27" spans="1:12" ht="24" customHeight="1" x14ac:dyDescent="0.45">
      <c r="A27" s="9" t="s">
        <v>34</v>
      </c>
      <c r="C27" s="30" t="s">
        <v>35</v>
      </c>
      <c r="D27" s="31"/>
      <c r="E27" s="31"/>
      <c r="F27" s="31"/>
      <c r="G27" s="31"/>
      <c r="H27" s="31"/>
      <c r="I27" s="31"/>
      <c r="J27" s="31"/>
      <c r="K27" s="31"/>
      <c r="L27" s="31"/>
    </row>
    <row r="28" spans="1:12" ht="24" customHeight="1" x14ac:dyDescent="0.45">
      <c r="A28" s="9" t="s">
        <v>36</v>
      </c>
      <c r="C28" s="30" t="s">
        <v>37</v>
      </c>
      <c r="D28" s="31"/>
      <c r="E28" s="31"/>
      <c r="F28" s="31"/>
      <c r="G28" s="31"/>
      <c r="H28" s="31"/>
      <c r="I28" s="31"/>
      <c r="J28" s="31"/>
      <c r="K28" s="31"/>
      <c r="L28" s="31"/>
    </row>
  </sheetData>
  <mergeCells count="18">
    <mergeCell ref="C28:L28"/>
    <mergeCell ref="A1:L2"/>
    <mergeCell ref="H8:I8"/>
    <mergeCell ref="K6:L6"/>
    <mergeCell ref="A3:L3"/>
    <mergeCell ref="B8:C8"/>
    <mergeCell ref="E8:F8"/>
    <mergeCell ref="C27:L27"/>
    <mergeCell ref="B6:C6"/>
    <mergeCell ref="K7:L7"/>
    <mergeCell ref="E6:F6"/>
    <mergeCell ref="H6:I6"/>
    <mergeCell ref="B7:C7"/>
    <mergeCell ref="E7:F7"/>
    <mergeCell ref="K8:L8"/>
    <mergeCell ref="H7:I7"/>
    <mergeCell ref="C26:L26"/>
    <mergeCell ref="C25:L2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4.5" x14ac:dyDescent="0.35"/>
  <cols>
    <col min="1" max="1" width="69" customWidth="1"/>
    <col min="2" max="3" width="19" customWidth="1"/>
    <col min="4" max="4" width="41" customWidth="1"/>
    <col min="5" max="5" width="14" customWidth="1"/>
    <col min="6" max="6" width="19" customWidth="1"/>
  </cols>
  <sheetData>
    <row r="1" spans="1:6" ht="32" customHeight="1" x14ac:dyDescent="0.35">
      <c r="A1" s="39" t="s">
        <v>38</v>
      </c>
      <c r="B1" s="31"/>
      <c r="C1" s="31"/>
      <c r="D1" s="31"/>
      <c r="E1" s="31"/>
      <c r="F1" s="31"/>
    </row>
    <row r="3" spans="1:6" ht="20" x14ac:dyDescent="0.55000000000000004">
      <c r="A3" s="10" t="s">
        <v>39</v>
      </c>
    </row>
    <row r="4" spans="1:6" ht="16.5" x14ac:dyDescent="0.45">
      <c r="A4" s="3" t="s">
        <v>40</v>
      </c>
      <c r="B4" s="3" t="s">
        <v>41</v>
      </c>
      <c r="C4" s="3" t="s">
        <v>42</v>
      </c>
      <c r="D4" s="3" t="s">
        <v>43</v>
      </c>
    </row>
    <row r="5" spans="1:6" ht="17.5" x14ac:dyDescent="0.45">
      <c r="A5" s="11" t="s">
        <v>44</v>
      </c>
      <c r="B5" s="12">
        <f>MIN(F5:F54)</f>
        <v>328</v>
      </c>
      <c r="C5" s="13">
        <f>MIN(F5:F54)</f>
        <v>328</v>
      </c>
      <c r="D5" s="4" t="s">
        <v>45</v>
      </c>
    </row>
    <row r="6" spans="1:6" ht="17.5" x14ac:dyDescent="0.45">
      <c r="A6" s="11" t="s">
        <v>46</v>
      </c>
      <c r="B6" s="12">
        <f>AVERAGE(F5:F54)</f>
        <v>1257.7441860465117</v>
      </c>
      <c r="C6" s="13">
        <f>AVERAGE(F5:F54)</f>
        <v>1257.7441860465117</v>
      </c>
      <c r="D6" s="4" t="s">
        <v>47</v>
      </c>
    </row>
    <row r="7" spans="1:6" ht="17.5" x14ac:dyDescent="0.45">
      <c r="A7" s="11" t="s">
        <v>48</v>
      </c>
      <c r="B7" s="12">
        <f>MAX(F5:F54)</f>
        <v>2427</v>
      </c>
      <c r="C7" s="13">
        <f>MAX(F5:F54)</f>
        <v>2427</v>
      </c>
      <c r="D7" s="4" t="s">
        <v>49</v>
      </c>
    </row>
    <row r="10" spans="1:6" ht="20" x14ac:dyDescent="0.55000000000000004">
      <c r="A10" s="10" t="s">
        <v>50</v>
      </c>
    </row>
    <row r="11" spans="1:6" ht="16.5" x14ac:dyDescent="0.45">
      <c r="A11" s="14" t="s">
        <v>51</v>
      </c>
      <c r="B11" s="14" t="s">
        <v>52</v>
      </c>
      <c r="C11" s="14" t="s">
        <v>53</v>
      </c>
      <c r="D11" s="14" t="s">
        <v>54</v>
      </c>
      <c r="E11" s="14" t="s">
        <v>55</v>
      </c>
      <c r="F11" s="14" t="s">
        <v>56</v>
      </c>
    </row>
    <row r="12" spans="1:6" ht="16.5" x14ac:dyDescent="0.45">
      <c r="A12" s="15" t="s">
        <v>57</v>
      </c>
      <c r="B12" s="4" t="s">
        <v>58</v>
      </c>
      <c r="C12" s="4" t="s">
        <v>59</v>
      </c>
      <c r="D12" s="4" t="s">
        <v>60</v>
      </c>
      <c r="E12" s="15" t="s">
        <v>61</v>
      </c>
      <c r="F12" s="16">
        <v>676</v>
      </c>
    </row>
    <row r="13" spans="1:6" ht="16.5" x14ac:dyDescent="0.45">
      <c r="A13" s="15" t="s">
        <v>62</v>
      </c>
      <c r="B13" s="4" t="s">
        <v>63</v>
      </c>
      <c r="C13" s="4" t="s">
        <v>59</v>
      </c>
      <c r="D13" s="4" t="s">
        <v>60</v>
      </c>
      <c r="E13" s="15" t="s">
        <v>61</v>
      </c>
      <c r="F13" s="16">
        <v>1346</v>
      </c>
    </row>
    <row r="14" spans="1:6" ht="16.5" x14ac:dyDescent="0.45">
      <c r="A14" s="15" t="s">
        <v>64</v>
      </c>
      <c r="B14" s="4" t="s">
        <v>65</v>
      </c>
      <c r="C14" s="4" t="s">
        <v>66</v>
      </c>
      <c r="D14" s="4" t="s">
        <v>67</v>
      </c>
      <c r="E14" s="15" t="s">
        <v>68</v>
      </c>
      <c r="F14" s="16">
        <v>791</v>
      </c>
    </row>
    <row r="15" spans="1:6" ht="16.5" x14ac:dyDescent="0.45">
      <c r="A15" s="15" t="s">
        <v>69</v>
      </c>
      <c r="B15" s="4" t="s">
        <v>70</v>
      </c>
      <c r="C15" s="4" t="s">
        <v>71</v>
      </c>
      <c r="D15" s="4" t="s">
        <v>72</v>
      </c>
      <c r="E15" s="15" t="s">
        <v>68</v>
      </c>
      <c r="F15" s="16">
        <v>576</v>
      </c>
    </row>
    <row r="16" spans="1:6" ht="16.5" x14ac:dyDescent="0.45">
      <c r="A16" s="15" t="s">
        <v>73</v>
      </c>
      <c r="B16" s="4" t="s">
        <v>74</v>
      </c>
      <c r="C16" s="4" t="s">
        <v>75</v>
      </c>
      <c r="D16" s="4" t="s">
        <v>76</v>
      </c>
      <c r="E16" s="15" t="s">
        <v>61</v>
      </c>
      <c r="F16" s="16">
        <v>350</v>
      </c>
    </row>
    <row r="17" spans="1:6" ht="16.5" x14ac:dyDescent="0.45">
      <c r="A17" s="15" t="s">
        <v>77</v>
      </c>
      <c r="B17" s="4" t="s">
        <v>78</v>
      </c>
      <c r="C17" s="4" t="s">
        <v>71</v>
      </c>
      <c r="D17" s="4" t="s">
        <v>72</v>
      </c>
      <c r="E17" s="15" t="s">
        <v>61</v>
      </c>
      <c r="F17" s="16">
        <v>1115</v>
      </c>
    </row>
    <row r="18" spans="1:6" ht="16.5" x14ac:dyDescent="0.45">
      <c r="A18" s="15" t="s">
        <v>79</v>
      </c>
      <c r="B18" s="4" t="s">
        <v>80</v>
      </c>
      <c r="C18" s="4" t="s">
        <v>81</v>
      </c>
      <c r="D18" s="4" t="s">
        <v>82</v>
      </c>
      <c r="E18" s="15" t="s">
        <v>68</v>
      </c>
      <c r="F18" s="16">
        <v>328</v>
      </c>
    </row>
    <row r="19" spans="1:6" ht="16.5" x14ac:dyDescent="0.45">
      <c r="A19" s="15" t="s">
        <v>83</v>
      </c>
      <c r="B19" s="4" t="s">
        <v>84</v>
      </c>
      <c r="C19" s="4" t="s">
        <v>66</v>
      </c>
      <c r="D19" s="4" t="s">
        <v>67</v>
      </c>
      <c r="E19" s="15" t="s">
        <v>61</v>
      </c>
      <c r="F19" s="16">
        <v>1938</v>
      </c>
    </row>
    <row r="20" spans="1:6" ht="16.5" x14ac:dyDescent="0.45">
      <c r="A20" s="15" t="s">
        <v>85</v>
      </c>
      <c r="B20" s="4" t="s">
        <v>86</v>
      </c>
      <c r="C20" s="4" t="s">
        <v>75</v>
      </c>
      <c r="D20" s="4" t="s">
        <v>76</v>
      </c>
      <c r="E20" s="15" t="s">
        <v>61</v>
      </c>
      <c r="F20" s="16">
        <v>1359</v>
      </c>
    </row>
    <row r="21" spans="1:6" ht="16.5" x14ac:dyDescent="0.45">
      <c r="A21" s="15" t="s">
        <v>87</v>
      </c>
      <c r="B21" s="4" t="s">
        <v>88</v>
      </c>
      <c r="C21" s="4" t="s">
        <v>66</v>
      </c>
      <c r="D21" s="4" t="s">
        <v>67</v>
      </c>
      <c r="E21" s="15" t="s">
        <v>89</v>
      </c>
      <c r="F21" s="16">
        <v>1951</v>
      </c>
    </row>
    <row r="22" spans="1:6" ht="16.5" x14ac:dyDescent="0.45">
      <c r="A22" s="15" t="s">
        <v>90</v>
      </c>
      <c r="B22" s="4" t="s">
        <v>91</v>
      </c>
      <c r="C22" s="4" t="s">
        <v>92</v>
      </c>
      <c r="D22" s="4" t="s">
        <v>93</v>
      </c>
      <c r="E22" s="15" t="s">
        <v>61</v>
      </c>
      <c r="F22" s="16">
        <v>856</v>
      </c>
    </row>
    <row r="23" spans="1:6" ht="16.5" x14ac:dyDescent="0.45">
      <c r="A23" s="15" t="s">
        <v>94</v>
      </c>
      <c r="B23" s="4" t="s">
        <v>95</v>
      </c>
      <c r="C23" s="4" t="s">
        <v>92</v>
      </c>
      <c r="D23" s="4" t="s">
        <v>93</v>
      </c>
      <c r="E23" s="15" t="s">
        <v>61</v>
      </c>
      <c r="F23" s="16">
        <v>638</v>
      </c>
    </row>
    <row r="24" spans="1:6" ht="16.5" x14ac:dyDescent="0.45">
      <c r="A24" s="15" t="s">
        <v>96</v>
      </c>
      <c r="B24" s="4" t="s">
        <v>97</v>
      </c>
      <c r="C24" s="4" t="s">
        <v>75</v>
      </c>
      <c r="D24" s="4" t="s">
        <v>76</v>
      </c>
      <c r="E24" s="15" t="s">
        <v>89</v>
      </c>
      <c r="F24" s="16">
        <v>616</v>
      </c>
    </row>
    <row r="25" spans="1:6" ht="16.5" x14ac:dyDescent="0.45">
      <c r="A25" s="15" t="s">
        <v>98</v>
      </c>
      <c r="B25" s="4" t="s">
        <v>99</v>
      </c>
      <c r="C25" s="4" t="s">
        <v>92</v>
      </c>
      <c r="D25" s="4" t="s">
        <v>93</v>
      </c>
      <c r="E25" s="15" t="s">
        <v>61</v>
      </c>
      <c r="F25" s="16">
        <v>1303</v>
      </c>
    </row>
    <row r="26" spans="1:6" ht="16.5" x14ac:dyDescent="0.45">
      <c r="A26" s="15" t="s">
        <v>100</v>
      </c>
      <c r="B26" s="4" t="s">
        <v>101</v>
      </c>
      <c r="C26" s="4" t="s">
        <v>59</v>
      </c>
      <c r="D26" s="4" t="s">
        <v>60</v>
      </c>
      <c r="E26" s="15" t="s">
        <v>68</v>
      </c>
      <c r="F26" s="16">
        <v>2101</v>
      </c>
    </row>
    <row r="27" spans="1:6" ht="16.5" x14ac:dyDescent="0.45">
      <c r="A27" s="15" t="s">
        <v>102</v>
      </c>
      <c r="B27" s="4" t="s">
        <v>103</v>
      </c>
      <c r="C27" s="4" t="s">
        <v>71</v>
      </c>
      <c r="D27" s="4" t="s">
        <v>72</v>
      </c>
      <c r="E27" s="15" t="s">
        <v>61</v>
      </c>
      <c r="F27" s="16">
        <v>1770</v>
      </c>
    </row>
    <row r="28" spans="1:6" ht="16.5" x14ac:dyDescent="0.45">
      <c r="A28" s="15" t="s">
        <v>104</v>
      </c>
      <c r="B28" s="4" t="s">
        <v>105</v>
      </c>
      <c r="C28" s="4" t="s">
        <v>81</v>
      </c>
      <c r="D28" s="4" t="s">
        <v>82</v>
      </c>
      <c r="E28" s="15" t="s">
        <v>68</v>
      </c>
      <c r="F28" s="16">
        <v>1420</v>
      </c>
    </row>
    <row r="29" spans="1:6" ht="16.5" x14ac:dyDescent="0.45">
      <c r="A29" s="15" t="s">
        <v>106</v>
      </c>
      <c r="B29" s="4" t="s">
        <v>107</v>
      </c>
      <c r="C29" s="4" t="s">
        <v>81</v>
      </c>
      <c r="D29" s="4" t="s">
        <v>82</v>
      </c>
      <c r="E29" s="15" t="s">
        <v>68</v>
      </c>
      <c r="F29" s="16">
        <v>1701</v>
      </c>
    </row>
    <row r="30" spans="1:6" ht="16.5" x14ac:dyDescent="0.45">
      <c r="A30" s="15" t="s">
        <v>108</v>
      </c>
      <c r="B30" s="4" t="s">
        <v>109</v>
      </c>
      <c r="C30" s="4" t="s">
        <v>66</v>
      </c>
      <c r="D30" s="4" t="s">
        <v>67</v>
      </c>
      <c r="E30" s="15" t="s">
        <v>61</v>
      </c>
      <c r="F30" s="16">
        <v>504</v>
      </c>
    </row>
    <row r="31" spans="1:6" ht="16.5" x14ac:dyDescent="0.45">
      <c r="A31" s="15" t="s">
        <v>110</v>
      </c>
      <c r="B31" s="4" t="s">
        <v>111</v>
      </c>
      <c r="C31" s="4" t="s">
        <v>59</v>
      </c>
      <c r="D31" s="4" t="s">
        <v>60</v>
      </c>
      <c r="E31" s="15" t="s">
        <v>89</v>
      </c>
      <c r="F31" s="16">
        <v>1153</v>
      </c>
    </row>
    <row r="32" spans="1:6" ht="16.5" x14ac:dyDescent="0.45">
      <c r="A32" s="15" t="s">
        <v>112</v>
      </c>
      <c r="B32" s="4" t="s">
        <v>113</v>
      </c>
      <c r="C32" s="4" t="s">
        <v>71</v>
      </c>
      <c r="D32" s="4" t="s">
        <v>72</v>
      </c>
      <c r="E32" s="15" t="s">
        <v>61</v>
      </c>
      <c r="F32" s="16">
        <v>1173</v>
      </c>
    </row>
    <row r="33" spans="1:6" ht="16.5" x14ac:dyDescent="0.45">
      <c r="A33" s="15" t="s">
        <v>114</v>
      </c>
      <c r="B33" s="4" t="s">
        <v>115</v>
      </c>
      <c r="C33" s="4" t="s">
        <v>75</v>
      </c>
      <c r="D33" s="4" t="s">
        <v>76</v>
      </c>
      <c r="E33" s="15" t="s">
        <v>89</v>
      </c>
      <c r="F33" s="16">
        <v>1358</v>
      </c>
    </row>
    <row r="34" spans="1:6" ht="16.5" x14ac:dyDescent="0.45">
      <c r="A34" s="15" t="s">
        <v>116</v>
      </c>
      <c r="B34" s="4" t="s">
        <v>117</v>
      </c>
      <c r="C34" s="4" t="s">
        <v>59</v>
      </c>
      <c r="D34" s="4" t="s">
        <v>60</v>
      </c>
      <c r="E34" s="15" t="s">
        <v>61</v>
      </c>
      <c r="F34" s="16">
        <v>1714</v>
      </c>
    </row>
    <row r="35" spans="1:6" ht="16.5" x14ac:dyDescent="0.45">
      <c r="A35" s="15" t="s">
        <v>118</v>
      </c>
      <c r="B35" s="4" t="s">
        <v>119</v>
      </c>
      <c r="C35" s="4" t="s">
        <v>92</v>
      </c>
      <c r="D35" s="4" t="s">
        <v>93</v>
      </c>
      <c r="E35" s="15" t="s">
        <v>61</v>
      </c>
      <c r="F35" s="16">
        <v>1675</v>
      </c>
    </row>
    <row r="36" spans="1:6" ht="16.5" x14ac:dyDescent="0.45">
      <c r="A36" s="15" t="s">
        <v>120</v>
      </c>
      <c r="B36" s="4" t="s">
        <v>121</v>
      </c>
      <c r="C36" s="4" t="s">
        <v>59</v>
      </c>
      <c r="D36" s="4" t="s">
        <v>60</v>
      </c>
      <c r="E36" s="15" t="s">
        <v>68</v>
      </c>
      <c r="F36" s="16">
        <v>1313</v>
      </c>
    </row>
    <row r="37" spans="1:6" ht="16.5" x14ac:dyDescent="0.45">
      <c r="A37" s="15" t="s">
        <v>122</v>
      </c>
      <c r="B37" s="4" t="s">
        <v>123</v>
      </c>
      <c r="C37" s="4" t="s">
        <v>59</v>
      </c>
      <c r="D37" s="4" t="s">
        <v>60</v>
      </c>
      <c r="E37" s="15" t="s">
        <v>68</v>
      </c>
      <c r="F37" s="16">
        <v>512</v>
      </c>
    </row>
    <row r="38" spans="1:6" ht="16.5" x14ac:dyDescent="0.45">
      <c r="A38" s="15" t="s">
        <v>124</v>
      </c>
      <c r="B38" s="4" t="s">
        <v>125</v>
      </c>
      <c r="C38" s="4" t="s">
        <v>59</v>
      </c>
      <c r="D38" s="4" t="s">
        <v>60</v>
      </c>
      <c r="E38" s="15" t="s">
        <v>68</v>
      </c>
      <c r="F38" s="16">
        <v>920</v>
      </c>
    </row>
    <row r="39" spans="1:6" ht="16.5" x14ac:dyDescent="0.45">
      <c r="A39" s="15" t="s">
        <v>126</v>
      </c>
      <c r="B39" s="4" t="s">
        <v>127</v>
      </c>
      <c r="C39" s="4" t="s">
        <v>59</v>
      </c>
      <c r="D39" s="4" t="s">
        <v>60</v>
      </c>
      <c r="E39" s="15" t="s">
        <v>61</v>
      </c>
      <c r="F39" s="16">
        <v>1222</v>
      </c>
    </row>
    <row r="40" spans="1:6" ht="16.5" x14ac:dyDescent="0.45">
      <c r="A40" s="15" t="s">
        <v>128</v>
      </c>
      <c r="B40" s="4" t="s">
        <v>129</v>
      </c>
      <c r="C40" s="4" t="s">
        <v>75</v>
      </c>
      <c r="D40" s="4" t="s">
        <v>76</v>
      </c>
      <c r="E40" s="15" t="s">
        <v>89</v>
      </c>
      <c r="F40" s="16">
        <v>1774</v>
      </c>
    </row>
    <row r="41" spans="1:6" ht="16.5" x14ac:dyDescent="0.45">
      <c r="A41" s="15" t="s">
        <v>130</v>
      </c>
      <c r="B41" s="4" t="s">
        <v>131</v>
      </c>
      <c r="C41" s="4" t="s">
        <v>59</v>
      </c>
      <c r="D41" s="4" t="s">
        <v>60</v>
      </c>
      <c r="E41" s="15" t="s">
        <v>68</v>
      </c>
      <c r="F41" s="16">
        <v>1119</v>
      </c>
    </row>
    <row r="42" spans="1:6" ht="16.5" x14ac:dyDescent="0.45">
      <c r="A42" s="15" t="s">
        <v>132</v>
      </c>
      <c r="B42" s="4" t="s">
        <v>133</v>
      </c>
      <c r="C42" s="4" t="s">
        <v>92</v>
      </c>
      <c r="D42" s="4" t="s">
        <v>93</v>
      </c>
      <c r="E42" s="15" t="s">
        <v>61</v>
      </c>
      <c r="F42" s="16">
        <v>449</v>
      </c>
    </row>
    <row r="43" spans="1:6" ht="16.5" x14ac:dyDescent="0.45">
      <c r="A43" s="15" t="s">
        <v>134</v>
      </c>
      <c r="B43" s="4" t="s">
        <v>135</v>
      </c>
      <c r="C43" s="4" t="s">
        <v>71</v>
      </c>
      <c r="D43" s="4" t="s">
        <v>72</v>
      </c>
      <c r="E43" s="15" t="s">
        <v>89</v>
      </c>
      <c r="F43" s="16">
        <v>1512</v>
      </c>
    </row>
    <row r="44" spans="1:6" ht="16.5" x14ac:dyDescent="0.45">
      <c r="A44" s="15" t="s">
        <v>136</v>
      </c>
      <c r="B44" s="4" t="s">
        <v>137</v>
      </c>
      <c r="C44" s="4" t="s">
        <v>92</v>
      </c>
      <c r="D44" s="4" t="s">
        <v>93</v>
      </c>
      <c r="E44" s="15" t="s">
        <v>61</v>
      </c>
      <c r="F44" s="16">
        <v>491</v>
      </c>
    </row>
    <row r="45" spans="1:6" ht="16.5" x14ac:dyDescent="0.45">
      <c r="A45" s="15" t="s">
        <v>138</v>
      </c>
      <c r="B45" s="4" t="s">
        <v>139</v>
      </c>
      <c r="C45" s="4" t="s">
        <v>81</v>
      </c>
      <c r="D45" s="4" t="s">
        <v>82</v>
      </c>
      <c r="E45" s="15" t="s">
        <v>61</v>
      </c>
      <c r="F45" s="16">
        <v>1508</v>
      </c>
    </row>
    <row r="46" spans="1:6" ht="16.5" x14ac:dyDescent="0.45">
      <c r="A46" s="15" t="s">
        <v>140</v>
      </c>
      <c r="B46" s="4" t="s">
        <v>141</v>
      </c>
      <c r="C46" s="4" t="s">
        <v>59</v>
      </c>
      <c r="D46" s="4" t="s">
        <v>60</v>
      </c>
      <c r="E46" s="15" t="s">
        <v>89</v>
      </c>
      <c r="F46" s="16">
        <v>2264</v>
      </c>
    </row>
    <row r="47" spans="1:6" ht="16.5" x14ac:dyDescent="0.45">
      <c r="A47" s="15" t="s">
        <v>142</v>
      </c>
      <c r="B47" s="4" t="s">
        <v>143</v>
      </c>
      <c r="C47" s="4" t="s">
        <v>59</v>
      </c>
      <c r="D47" s="4" t="s">
        <v>60</v>
      </c>
      <c r="E47" s="15" t="s">
        <v>61</v>
      </c>
      <c r="F47" s="16">
        <v>2099</v>
      </c>
    </row>
    <row r="48" spans="1:6" ht="16.5" x14ac:dyDescent="0.45">
      <c r="A48" s="15" t="s">
        <v>144</v>
      </c>
      <c r="B48" s="4" t="s">
        <v>145</v>
      </c>
      <c r="C48" s="4" t="s">
        <v>92</v>
      </c>
      <c r="D48" s="4" t="s">
        <v>93</v>
      </c>
      <c r="E48" s="15" t="s">
        <v>61</v>
      </c>
      <c r="F48" s="16">
        <v>791</v>
      </c>
    </row>
    <row r="49" spans="1:6" ht="16.5" x14ac:dyDescent="0.45">
      <c r="A49" s="15" t="s">
        <v>146</v>
      </c>
      <c r="B49" s="4" t="s">
        <v>147</v>
      </c>
      <c r="C49" s="4" t="s">
        <v>59</v>
      </c>
      <c r="D49" s="4" t="s">
        <v>60</v>
      </c>
      <c r="E49" s="15" t="s">
        <v>89</v>
      </c>
      <c r="F49" s="16">
        <v>2427</v>
      </c>
    </row>
    <row r="50" spans="1:6" ht="16.5" x14ac:dyDescent="0.45">
      <c r="A50" s="15" t="s">
        <v>148</v>
      </c>
      <c r="B50" s="4" t="s">
        <v>149</v>
      </c>
      <c r="C50" s="4" t="s">
        <v>59</v>
      </c>
      <c r="D50" s="4" t="s">
        <v>60</v>
      </c>
      <c r="E50" s="15" t="s">
        <v>68</v>
      </c>
      <c r="F50" s="16">
        <v>1974</v>
      </c>
    </row>
    <row r="51" spans="1:6" ht="16.5" x14ac:dyDescent="0.45">
      <c r="A51" s="15" t="s">
        <v>150</v>
      </c>
      <c r="B51" s="4" t="s">
        <v>151</v>
      </c>
      <c r="C51" s="4" t="s">
        <v>75</v>
      </c>
      <c r="D51" s="4" t="s">
        <v>76</v>
      </c>
      <c r="E51" s="15" t="s">
        <v>61</v>
      </c>
      <c r="F51" s="16">
        <v>1702</v>
      </c>
    </row>
    <row r="52" spans="1:6" ht="16.5" x14ac:dyDescent="0.45">
      <c r="A52" s="15" t="s">
        <v>152</v>
      </c>
      <c r="B52" s="4" t="s">
        <v>153</v>
      </c>
      <c r="C52" s="4" t="s">
        <v>66</v>
      </c>
      <c r="D52" s="4" t="s">
        <v>67</v>
      </c>
      <c r="E52" s="15" t="s">
        <v>89</v>
      </c>
      <c r="F52" s="16">
        <v>2307</v>
      </c>
    </row>
    <row r="53" spans="1:6" ht="16.5" x14ac:dyDescent="0.45">
      <c r="A53" s="15" t="s">
        <v>154</v>
      </c>
      <c r="B53" s="4" t="s">
        <v>155</v>
      </c>
      <c r="C53" s="4" t="s">
        <v>71</v>
      </c>
      <c r="D53" s="4" t="s">
        <v>72</v>
      </c>
      <c r="E53" s="15" t="s">
        <v>61</v>
      </c>
      <c r="F53" s="16">
        <v>412</v>
      </c>
    </row>
    <row r="54" spans="1:6" ht="16.5" x14ac:dyDescent="0.45">
      <c r="A54" s="15" t="s">
        <v>156</v>
      </c>
      <c r="B54" s="4" t="s">
        <v>157</v>
      </c>
      <c r="C54" s="4" t="s">
        <v>66</v>
      </c>
      <c r="D54" s="4" t="s">
        <v>67</v>
      </c>
      <c r="E54" s="15" t="s">
        <v>68</v>
      </c>
      <c r="F54" s="16">
        <v>875</v>
      </c>
    </row>
    <row r="55" spans="1:6" ht="16.5" x14ac:dyDescent="0.45">
      <c r="A55" s="15" t="s">
        <v>158</v>
      </c>
      <c r="B55" s="4" t="s">
        <v>159</v>
      </c>
      <c r="C55" s="4" t="s">
        <v>75</v>
      </c>
      <c r="D55" s="4" t="s">
        <v>76</v>
      </c>
      <c r="E55" s="15" t="s">
        <v>89</v>
      </c>
      <c r="F55" s="16">
        <v>480</v>
      </c>
    </row>
    <row r="56" spans="1:6" ht="16.5" x14ac:dyDescent="0.45">
      <c r="A56" s="15" t="s">
        <v>160</v>
      </c>
      <c r="B56" s="4" t="s">
        <v>161</v>
      </c>
      <c r="C56" s="4" t="s">
        <v>75</v>
      </c>
      <c r="D56" s="4" t="s">
        <v>76</v>
      </c>
      <c r="E56" s="15" t="s">
        <v>68</v>
      </c>
      <c r="F56" s="16">
        <v>2137</v>
      </c>
    </row>
    <row r="57" spans="1:6" ht="16.5" x14ac:dyDescent="0.45">
      <c r="A57" s="15" t="s">
        <v>162</v>
      </c>
      <c r="B57" s="4" t="s">
        <v>163</v>
      </c>
      <c r="C57" s="4" t="s">
        <v>92</v>
      </c>
      <c r="D57" s="4" t="s">
        <v>93</v>
      </c>
      <c r="E57" s="15" t="s">
        <v>68</v>
      </c>
      <c r="F57" s="16">
        <v>267</v>
      </c>
    </row>
    <row r="58" spans="1:6" ht="16.5" x14ac:dyDescent="0.45">
      <c r="A58" s="15" t="s">
        <v>164</v>
      </c>
      <c r="B58" s="4" t="s">
        <v>165</v>
      </c>
      <c r="C58" s="4" t="s">
        <v>59</v>
      </c>
      <c r="D58" s="4" t="s">
        <v>60</v>
      </c>
      <c r="E58" s="15" t="s">
        <v>68</v>
      </c>
      <c r="F58" s="16">
        <v>689</v>
      </c>
    </row>
    <row r="59" spans="1:6" ht="16.5" x14ac:dyDescent="0.45">
      <c r="A59" s="15" t="s">
        <v>166</v>
      </c>
      <c r="B59" s="4" t="s">
        <v>167</v>
      </c>
      <c r="C59" s="4" t="s">
        <v>81</v>
      </c>
      <c r="D59" s="4" t="s">
        <v>82</v>
      </c>
      <c r="E59" s="15" t="s">
        <v>68</v>
      </c>
      <c r="F59" s="16">
        <v>1312</v>
      </c>
    </row>
    <row r="60" spans="1:6" ht="16.5" x14ac:dyDescent="0.45">
      <c r="A60" s="15" t="s">
        <v>168</v>
      </c>
      <c r="B60" s="4" t="s">
        <v>169</v>
      </c>
      <c r="C60" s="4" t="s">
        <v>92</v>
      </c>
      <c r="D60" s="4" t="s">
        <v>93</v>
      </c>
      <c r="E60" s="15" t="s">
        <v>89</v>
      </c>
      <c r="F60" s="16">
        <v>676</v>
      </c>
    </row>
    <row r="61" spans="1:6" ht="16.5" x14ac:dyDescent="0.45">
      <c r="A61" s="15" t="s">
        <v>170</v>
      </c>
      <c r="B61" s="4" t="s">
        <v>171</v>
      </c>
      <c r="C61" s="4" t="s">
        <v>75</v>
      </c>
      <c r="D61" s="4" t="s">
        <v>76</v>
      </c>
      <c r="E61" s="15" t="s">
        <v>89</v>
      </c>
      <c r="F61" s="16">
        <v>867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5" x14ac:dyDescent="0.35"/>
  <cols>
    <col min="1" max="1" width="92" customWidth="1"/>
    <col min="2" max="2" width="15" customWidth="1"/>
    <col min="3" max="3" width="19" customWidth="1"/>
    <col min="4" max="8" width="14" customWidth="1"/>
  </cols>
  <sheetData>
    <row r="1" spans="1:8" ht="32" customHeight="1" x14ac:dyDescent="0.35">
      <c r="A1" s="39" t="s">
        <v>172</v>
      </c>
      <c r="B1" s="31"/>
      <c r="C1" s="31"/>
      <c r="D1" s="31"/>
      <c r="E1" s="31"/>
      <c r="F1" s="31"/>
      <c r="G1" s="31"/>
      <c r="H1" s="31"/>
    </row>
    <row r="3" spans="1:8" ht="20" x14ac:dyDescent="0.55000000000000004">
      <c r="A3" s="10" t="s">
        <v>173</v>
      </c>
    </row>
    <row r="4" spans="1:8" ht="16.5" x14ac:dyDescent="0.45">
      <c r="A4" s="17" t="s">
        <v>174</v>
      </c>
      <c r="B4" s="14" t="s">
        <v>15</v>
      </c>
      <c r="C4" s="14" t="s">
        <v>175</v>
      </c>
    </row>
    <row r="5" spans="1:8" ht="16.5" x14ac:dyDescent="0.45">
      <c r="A5" s="11" t="s">
        <v>17</v>
      </c>
      <c r="B5" s="18">
        <v>4850</v>
      </c>
      <c r="C5" s="19"/>
    </row>
    <row r="6" spans="1:8" ht="16.5" x14ac:dyDescent="0.45">
      <c r="A6" s="11" t="s">
        <v>19</v>
      </c>
      <c r="B6" s="18">
        <v>3920</v>
      </c>
      <c r="C6" s="19"/>
    </row>
    <row r="7" spans="1:8" ht="16.5" x14ac:dyDescent="0.45">
      <c r="A7" s="11" t="s">
        <v>21</v>
      </c>
      <c r="B7" s="18">
        <v>2740</v>
      </c>
      <c r="C7" s="19"/>
    </row>
    <row r="8" spans="1:8" ht="16.5" x14ac:dyDescent="0.45">
      <c r="A8" s="11" t="s">
        <v>23</v>
      </c>
      <c r="B8" s="18">
        <v>2410</v>
      </c>
      <c r="C8" s="19"/>
    </row>
    <row r="9" spans="1:8" ht="16.5" x14ac:dyDescent="0.45">
      <c r="A9" s="11" t="s">
        <v>25</v>
      </c>
      <c r="B9" s="18">
        <v>1650</v>
      </c>
      <c r="C9" s="19"/>
    </row>
    <row r="10" spans="1:8" ht="16.5" x14ac:dyDescent="0.45">
      <c r="A10" s="11" t="s">
        <v>27</v>
      </c>
      <c r="B10" s="18">
        <v>1180</v>
      </c>
      <c r="C10" s="19"/>
    </row>
    <row r="11" spans="1:8" ht="16.5" x14ac:dyDescent="0.45">
      <c r="A11" s="2" t="s">
        <v>176</v>
      </c>
      <c r="B11" s="20">
        <f>SUM(B5:B10)</f>
        <v>16750</v>
      </c>
      <c r="C11" s="3" t="s">
        <v>177</v>
      </c>
    </row>
    <row r="14" spans="1:8" ht="16.5" x14ac:dyDescent="0.45">
      <c r="A14" s="21" t="s">
        <v>178</v>
      </c>
    </row>
    <row r="15" spans="1:8" ht="16" x14ac:dyDescent="0.45">
      <c r="A15" s="22" t="s">
        <v>179</v>
      </c>
    </row>
    <row r="16" spans="1:8" ht="16" x14ac:dyDescent="0.45">
      <c r="A16" s="22" t="s">
        <v>180</v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4.5" x14ac:dyDescent="0.35"/>
  <cols>
    <col min="1" max="1" width="96" customWidth="1"/>
    <col min="2" max="2" width="15" customWidth="1"/>
    <col min="3" max="3" width="19" customWidth="1"/>
    <col min="4" max="4" width="23" customWidth="1"/>
    <col min="5" max="5" width="21" customWidth="1"/>
    <col min="6" max="8" width="14" customWidth="1"/>
  </cols>
  <sheetData>
    <row r="1" spans="1:8" ht="32" customHeight="1" x14ac:dyDescent="0.35">
      <c r="A1" s="39" t="s">
        <v>181</v>
      </c>
      <c r="B1" s="31"/>
      <c r="C1" s="31"/>
      <c r="D1" s="31"/>
      <c r="E1" s="31"/>
      <c r="F1" s="31"/>
      <c r="G1" s="31"/>
      <c r="H1" s="31"/>
    </row>
    <row r="3" spans="1:8" ht="20" x14ac:dyDescent="0.55000000000000004">
      <c r="A3" s="10" t="s">
        <v>182</v>
      </c>
    </row>
    <row r="4" spans="1:8" ht="16.5" x14ac:dyDescent="0.45">
      <c r="A4" s="3" t="s">
        <v>183</v>
      </c>
      <c r="B4" s="3" t="s">
        <v>15</v>
      </c>
      <c r="C4" s="3" t="s">
        <v>184</v>
      </c>
      <c r="D4" s="3" t="s">
        <v>185</v>
      </c>
      <c r="E4" s="3" t="s">
        <v>186</v>
      </c>
    </row>
    <row r="5" spans="1:8" ht="16.5" x14ac:dyDescent="0.45">
      <c r="A5" s="11" t="s">
        <v>18</v>
      </c>
      <c r="B5" s="18">
        <v>14200</v>
      </c>
      <c r="C5" s="6">
        <v>14200</v>
      </c>
      <c r="D5" s="23" t="s">
        <v>187</v>
      </c>
      <c r="E5" s="23" t="s">
        <v>188</v>
      </c>
    </row>
    <row r="6" spans="1:8" ht="16.5" x14ac:dyDescent="0.45">
      <c r="A6" s="11" t="s">
        <v>20</v>
      </c>
      <c r="B6" s="18">
        <v>15800</v>
      </c>
      <c r="C6" s="7">
        <v>1600</v>
      </c>
      <c r="D6" s="24">
        <v>0.1126760563380282</v>
      </c>
      <c r="E6" s="25" t="s">
        <v>189</v>
      </c>
    </row>
    <row r="7" spans="1:8" ht="16.5" x14ac:dyDescent="0.45">
      <c r="A7" s="11" t="s">
        <v>22</v>
      </c>
      <c r="B7" s="18">
        <v>17400</v>
      </c>
      <c r="C7" s="7">
        <v>1600</v>
      </c>
      <c r="D7" s="24">
        <v>0.1012658227848101</v>
      </c>
      <c r="E7" s="25" t="s">
        <v>189</v>
      </c>
    </row>
    <row r="8" spans="1:8" ht="16.5" x14ac:dyDescent="0.45">
      <c r="A8" s="11" t="s">
        <v>24</v>
      </c>
      <c r="B8" s="18">
        <v>16100</v>
      </c>
      <c r="C8" s="8">
        <v>-1300</v>
      </c>
      <c r="D8" s="26">
        <v>-7.4712643678160925E-2</v>
      </c>
      <c r="E8" s="27" t="s">
        <v>190</v>
      </c>
    </row>
    <row r="9" spans="1:8" ht="16.5" x14ac:dyDescent="0.45">
      <c r="A9" s="11" t="s">
        <v>26</v>
      </c>
      <c r="B9" s="18">
        <v>18900</v>
      </c>
      <c r="C9" s="7">
        <v>2800</v>
      </c>
      <c r="D9" s="24">
        <v>0.17391304347826089</v>
      </c>
      <c r="E9" s="25" t="s">
        <v>189</v>
      </c>
    </row>
    <row r="10" spans="1:8" ht="16.5" x14ac:dyDescent="0.45">
      <c r="A10" s="11" t="s">
        <v>28</v>
      </c>
      <c r="B10" s="18">
        <v>21400</v>
      </c>
      <c r="C10" s="7">
        <v>2500</v>
      </c>
      <c r="D10" s="24">
        <v>0.1322751322751323</v>
      </c>
      <c r="E10" s="25" t="s">
        <v>189</v>
      </c>
    </row>
    <row r="13" spans="1:8" ht="16.5" x14ac:dyDescent="0.45">
      <c r="A13" s="21" t="s">
        <v>191</v>
      </c>
    </row>
    <row r="14" spans="1:8" ht="16" x14ac:dyDescent="0.45">
      <c r="A14" s="22" t="s">
        <v>192</v>
      </c>
    </row>
    <row r="15" spans="1:8" ht="16" x14ac:dyDescent="0.45">
      <c r="A15" s="22" t="s">
        <v>193</v>
      </c>
    </row>
    <row r="16" spans="1:8" ht="16" x14ac:dyDescent="0.45">
      <c r="A16" s="22" t="s">
        <v>194</v>
      </c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5" x14ac:dyDescent="0.35"/>
  <cols>
    <col min="1" max="1" width="38" customWidth="1"/>
    <col min="2" max="2" width="85" customWidth="1"/>
  </cols>
  <sheetData>
    <row r="1" spans="1:6" ht="32" customHeight="1" x14ac:dyDescent="0.35">
      <c r="A1" s="39" t="s">
        <v>195</v>
      </c>
      <c r="B1" s="31"/>
      <c r="C1" s="31"/>
      <c r="D1" s="31"/>
      <c r="E1" s="31"/>
      <c r="F1" s="31"/>
    </row>
    <row r="3" spans="1:6" ht="20" x14ac:dyDescent="0.55000000000000004">
      <c r="A3" s="10" t="s">
        <v>196</v>
      </c>
    </row>
    <row r="4" spans="1:6" ht="16.5" x14ac:dyDescent="0.45">
      <c r="A4" s="3" t="s">
        <v>197</v>
      </c>
      <c r="B4" s="3" t="s">
        <v>198</v>
      </c>
    </row>
    <row r="5" spans="1:6" ht="45" customHeight="1" x14ac:dyDescent="0.35">
      <c r="A5" s="28" t="s">
        <v>199</v>
      </c>
      <c r="B5" s="29" t="s">
        <v>200</v>
      </c>
    </row>
    <row r="6" spans="1:6" ht="45" customHeight="1" x14ac:dyDescent="0.35">
      <c r="A6" s="28" t="s">
        <v>201</v>
      </c>
      <c r="B6" s="29" t="s">
        <v>202</v>
      </c>
    </row>
    <row r="7" spans="1:6" ht="45" customHeight="1" x14ac:dyDescent="0.35">
      <c r="A7" s="28" t="s">
        <v>203</v>
      </c>
      <c r="B7" s="29" t="s">
        <v>204</v>
      </c>
    </row>
    <row r="8" spans="1:6" ht="45" customHeight="1" x14ac:dyDescent="0.35">
      <c r="A8" s="28" t="s">
        <v>205</v>
      </c>
      <c r="B8" s="29" t="s">
        <v>206</v>
      </c>
    </row>
    <row r="9" spans="1:6" ht="45" customHeight="1" x14ac:dyDescent="0.35">
      <c r="A9" s="28" t="s">
        <v>207</v>
      </c>
      <c r="B9" s="29" t="s">
        <v>208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Raw Orders</vt:lpstr>
      <vt:lpstr>Task 3 - Donut Chart</vt:lpstr>
      <vt:lpstr>Task 4 - Waterfall Analysis</vt:lpstr>
      <vt:lpstr>Design Principles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2026-10-01T10:19:03Z</dcterms:created>
  <dcterms:modified xsi:type="dcterms:W3CDTF">2026-10-01T10:29:57Z</dcterms:modified>
</cp:coreProperties>
</file>