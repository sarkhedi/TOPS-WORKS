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3f283b6372641a8/Documents/SESSION 12/"/>
    </mc:Choice>
  </mc:AlternateContent>
  <xr:revisionPtr revIDLastSave="3" documentId="11_74D2C597EDF784A59E306E2ACE5DE2E622D90457" xr6:coauthVersionLast="47" xr6:coauthVersionMax="47" xr10:uidLastSave="{9C58B4E6-DD9E-4D24-8AF3-0613326A2A52}"/>
  <bookViews>
    <workbookView xWindow="-110" yWindow="-110" windowWidth="19420" windowHeight="11020" xr2:uid="{00000000-000D-0000-FFFF-FFFF00000000}"/>
  </bookViews>
  <sheets>
    <sheet name="Task 1 - Duplicates" sheetId="1" r:id="rId1"/>
    <sheet name="Task 2 - Color Scale" sheetId="2" r:id="rId2"/>
    <sheet name="Task 3 - Traffic Lights" sheetId="3" r:id="rId3"/>
    <sheet name="Task 4 - Top &amp; Bottom 3" sheetId="4" r:id="rId4"/>
    <sheet name="Task 5 - Expense vs Targe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5" l="1"/>
  <c r="F13" i="5"/>
  <c r="F12" i="5"/>
  <c r="F11" i="5"/>
  <c r="F10" i="5"/>
  <c r="F9" i="5"/>
  <c r="F8" i="5"/>
  <c r="F7" i="5"/>
  <c r="F6" i="5"/>
  <c r="F5" i="5"/>
  <c r="E20" i="4"/>
  <c r="E19" i="4"/>
  <c r="E18" i="4"/>
  <c r="E7" i="4"/>
  <c r="E6" i="4"/>
  <c r="E5" i="4"/>
</calcChain>
</file>

<file path=xl/sharedStrings.xml><?xml version="1.0" encoding="utf-8"?>
<sst xmlns="http://schemas.openxmlformats.org/spreadsheetml/2006/main" count="323" uniqueCount="215">
  <si>
    <t>Task 1: Highlight Duplicate Song Names in Yellow (20 Songs Dataset)</t>
  </si>
  <si>
    <t>Song Playlist (Duplicate Song Names Highlighted in Yellow)</t>
  </si>
  <si>
    <t>Track #</t>
  </si>
  <si>
    <t>Song Name</t>
  </si>
  <si>
    <t>Artist</t>
  </si>
  <si>
    <t>Duplicate Status</t>
  </si>
  <si>
    <t>Rule Applied</t>
  </si>
  <si>
    <t>#1</t>
  </si>
  <si>
    <t>Kesariya</t>
  </si>
  <si>
    <t>Arijit Singh</t>
  </si>
  <si>
    <t>Duplicate</t>
  </si>
  <si>
    <t>#2</t>
  </si>
  <si>
    <t>Chaleya</t>
  </si>
  <si>
    <t>Arijit Singh &amp; Shilpa Rao</t>
  </si>
  <si>
    <t>#3</t>
  </si>
  <si>
    <t>Shape of You</t>
  </si>
  <si>
    <t>Ed Sheeran</t>
  </si>
  <si>
    <t>#4</t>
  </si>
  <si>
    <t>Believer</t>
  </si>
  <si>
    <t>Imagine Dragons</t>
  </si>
  <si>
    <t>Unique</t>
  </si>
  <si>
    <t>-</t>
  </si>
  <si>
    <t>#5</t>
  </si>
  <si>
    <t>Pritam (Reprise)</t>
  </si>
  <si>
    <t>#6</t>
  </si>
  <si>
    <t>Starboy</t>
  </si>
  <si>
    <t>The Weeknd</t>
  </si>
  <si>
    <t>#7</t>
  </si>
  <si>
    <t>Apna Bana Le</t>
  </si>
  <si>
    <t>#8</t>
  </si>
  <si>
    <t>Heeriye</t>
  </si>
  <si>
    <t>Jasleen Royal</t>
  </si>
  <si>
    <t>#9</t>
  </si>
  <si>
    <t>Ed Sheeran (Acoustic)</t>
  </si>
  <si>
    <t>#10</t>
  </si>
  <si>
    <t>Satranga</t>
  </si>
  <si>
    <t>#11</t>
  </si>
  <si>
    <t>Bad Guy</t>
  </si>
  <si>
    <t>Billie Eilish</t>
  </si>
  <si>
    <t>#12</t>
  </si>
  <si>
    <t>Anirudh (Club Mix)</t>
  </si>
  <si>
    <t>#13</t>
  </si>
  <si>
    <t>Blinding Lights</t>
  </si>
  <si>
    <t>#14</t>
  </si>
  <si>
    <t>Kahani Suno 2.0</t>
  </si>
  <si>
    <t>Kaifi Khalil</t>
  </si>
  <si>
    <t>#15</t>
  </si>
  <si>
    <t>Maan Meri Jaan</t>
  </si>
  <si>
    <t>King</t>
  </si>
  <si>
    <t>#16</t>
  </si>
  <si>
    <t>Dance Mix</t>
  </si>
  <si>
    <t>#17</t>
  </si>
  <si>
    <t>Pehle Bhi Main</t>
  </si>
  <si>
    <t>Vishal Mishra</t>
  </si>
  <si>
    <t>#18</t>
  </si>
  <si>
    <t>Slowed &amp; Reverb</t>
  </si>
  <si>
    <t>#19</t>
  </si>
  <si>
    <t>Tum Hi Ho</t>
  </si>
  <si>
    <t>#20</t>
  </si>
  <si>
    <t>Raataan Lambiyan</t>
  </si>
  <si>
    <t>Jubin Nautiyal</t>
  </si>
  <si>
    <t>Task 2: Color Scale on Flipkart Prices (Lowest: Red -&gt; Mid: Yellow -&gt; Highest: Dark Green)</t>
  </si>
  <si>
    <t>Flipkart Product Price List (Color Scale Applied)</t>
  </si>
  <si>
    <t>Product ID</t>
  </si>
  <si>
    <t>Product Name</t>
  </si>
  <si>
    <t>Category</t>
  </si>
  <si>
    <t>Price (₹)</t>
  </si>
  <si>
    <t>Color Scale Meaning</t>
  </si>
  <si>
    <t>FK-01</t>
  </si>
  <si>
    <t>USB Type-C Fast Cable</t>
  </si>
  <si>
    <t>Accessories</t>
  </si>
  <si>
    <t>Lowest Price (Red Accent)</t>
  </si>
  <si>
    <t>FK-02</t>
  </si>
  <si>
    <t>Mobile Back Cover</t>
  </si>
  <si>
    <t>Budget Price Range (Orange/Red Tint)</t>
  </si>
  <si>
    <t>FK-03</t>
  </si>
  <si>
    <t>Ergonomic Mousepad</t>
  </si>
  <si>
    <t>FK-04</t>
  </si>
  <si>
    <t>Boat Bassheads Earphones</t>
  </si>
  <si>
    <t>Audio</t>
  </si>
  <si>
    <t>FK-05</t>
  </si>
  <si>
    <t>Boat Airdopes 141</t>
  </si>
  <si>
    <t>FK-06</t>
  </si>
  <si>
    <t>Noise ColorFit Smartwatch</t>
  </si>
  <si>
    <t>Wearables</t>
  </si>
  <si>
    <t>FK-07</t>
  </si>
  <si>
    <t>SanDisk 128GB Pendrive</t>
  </si>
  <si>
    <t>Storage</t>
  </si>
  <si>
    <t>FK-08</t>
  </si>
  <si>
    <t>JBL Bluetooth Speaker</t>
  </si>
  <si>
    <t>Mid Price Range (Yellow Tint)</t>
  </si>
  <si>
    <t>FK-09</t>
  </si>
  <si>
    <t>Realme 20000mAh Powerbank</t>
  </si>
  <si>
    <t>FK-10</t>
  </si>
  <si>
    <t>Logitech MX Master 3S</t>
  </si>
  <si>
    <t>FK-11</t>
  </si>
  <si>
    <t>Kindle Paperwhite (16GB)</t>
  </si>
  <si>
    <t>E-Readers</t>
  </si>
  <si>
    <t>FK-12</t>
  </si>
  <si>
    <t>Sony WH-1000XM5 Headphones</t>
  </si>
  <si>
    <t>FK-13</t>
  </si>
  <si>
    <t>OnePlus 12 (512GB)</t>
  </si>
  <si>
    <t>Mobiles</t>
  </si>
  <si>
    <t>High Price Range (Green Tint)</t>
  </si>
  <si>
    <t>FK-14</t>
  </si>
  <si>
    <t>Apple iPhone 15 (128GB)</t>
  </si>
  <si>
    <t>FK-15</t>
  </si>
  <si>
    <t>Samsung Galaxy S24 Ultra</t>
  </si>
  <si>
    <t>Highest Price (Dark Green Accent)</t>
  </si>
  <si>
    <t>Task 3: Zomato Order Ratings with Traffic Lights Icon Set (🟢 &gt;= 4, 🟡 = 3, 🔴 &lt; 3)</t>
  </si>
  <si>
    <t>15 Zomato Orders &amp; Ratings with Traffic Light Indicators</t>
  </si>
  <si>
    <t>Order ID</t>
  </si>
  <si>
    <t>Restaurant Name</t>
  </si>
  <si>
    <t>Rating (1-5)</t>
  </si>
  <si>
    <t>Indicator Level</t>
  </si>
  <si>
    <t>Custom Rule Threshold</t>
  </si>
  <si>
    <t>ZOM-301</t>
  </si>
  <si>
    <t>Gordhan Thal</t>
  </si>
  <si>
    <t>🟢 Green (Excellent)</t>
  </si>
  <si>
    <t>&gt;= 4.0 Rating</t>
  </si>
  <si>
    <t>ZOM-302</t>
  </si>
  <si>
    <t>Honest Restaurant</t>
  </si>
  <si>
    <t>ZOM-303</t>
  </si>
  <si>
    <t>Subway</t>
  </si>
  <si>
    <t>🟡 Yellow (Average)</t>
  </si>
  <si>
    <t>3.0 to 3.9 Rating</t>
  </si>
  <si>
    <t>ZOM-304</t>
  </si>
  <si>
    <t>Burger King</t>
  </si>
  <si>
    <t>🔴 Red (Poor)</t>
  </si>
  <si>
    <t>&lt; 3.0 Rating</t>
  </si>
  <si>
    <t>ZOM-305</t>
  </si>
  <si>
    <t>Mirch Masala</t>
  </si>
  <si>
    <t>ZOM-306</t>
  </si>
  <si>
    <t>Pizza Hut</t>
  </si>
  <si>
    <t>ZOM-307</t>
  </si>
  <si>
    <t>Local Street Dosa</t>
  </si>
  <si>
    <t>ZOM-308</t>
  </si>
  <si>
    <t>Barbeque Nation</t>
  </si>
  <si>
    <t>ZOM-309</t>
  </si>
  <si>
    <t>Chai Point</t>
  </si>
  <si>
    <t>ZOM-310</t>
  </si>
  <si>
    <t>Chinese Corner</t>
  </si>
  <si>
    <t>ZOM-311</t>
  </si>
  <si>
    <t>Gwalia Sweets</t>
  </si>
  <si>
    <t>ZOM-312</t>
  </si>
  <si>
    <t>McDonalds</t>
  </si>
  <si>
    <t>ZOM-313</t>
  </si>
  <si>
    <t>Bikanervala</t>
  </si>
  <si>
    <t>ZOM-314</t>
  </si>
  <si>
    <t>Late Night Biryani</t>
  </si>
  <si>
    <t>ZOM-315</t>
  </si>
  <si>
    <t>Under The Neem Tree</t>
  </si>
  <si>
    <t>Task 4: IPL Player Runs - Top 3 in Blue &amp; Bottom 3 in Orange</t>
  </si>
  <si>
    <t>IPL Season Run Scorers (Top 3 Highlighted in Blue, Bottom 3 in Orange)</t>
  </si>
  <si>
    <t>Player Name</t>
  </si>
  <si>
    <t>IPL Team</t>
  </si>
  <si>
    <t>Total Runs</t>
  </si>
  <si>
    <t>Highlight Tier</t>
  </si>
  <si>
    <t>Rule Formula</t>
  </si>
  <si>
    <t>Virat Kohli</t>
  </si>
  <si>
    <t>RCB</t>
  </si>
  <si>
    <t>Top 3 Run Scorer</t>
  </si>
  <si>
    <t>Ruturaj Gaikwad</t>
  </si>
  <si>
    <t>CSK</t>
  </si>
  <si>
    <t>Riyan Parag</t>
  </si>
  <si>
    <t>RR</t>
  </si>
  <si>
    <t>Travis Head</t>
  </si>
  <si>
    <t>SRH</t>
  </si>
  <si>
    <t>Mid-Tier</t>
  </si>
  <si>
    <t>Sanju Samson</t>
  </si>
  <si>
    <t>Shubman Gill</t>
  </si>
  <si>
    <t>GT</t>
  </si>
  <si>
    <t>Rohit Sharma</t>
  </si>
  <si>
    <t>MI</t>
  </si>
  <si>
    <t>KL Rahul</t>
  </si>
  <si>
    <t>LSG</t>
  </si>
  <si>
    <t>Nicholas Pooran</t>
  </si>
  <si>
    <t>Sunil Narine</t>
  </si>
  <si>
    <t>KKR</t>
  </si>
  <si>
    <t>Heinrich Klaasen</t>
  </si>
  <si>
    <t>Phil Salt</t>
  </si>
  <si>
    <t>Sai Sudharsan</t>
  </si>
  <si>
    <t>Rajat Patidar</t>
  </si>
  <si>
    <t>Bottom 3 Run Scorer</t>
  </si>
  <si>
    <t>Dinesh Karthik</t>
  </si>
  <si>
    <t>Rinku Singh</t>
  </si>
  <si>
    <t>Task 5: Monthly Expense Tracking vs Target (Under Target: Green ✅ | Over Target: Red ❌)</t>
  </si>
  <si>
    <t>Monthly Expenses vs Budget Targets (Cost Control Logic)</t>
  </si>
  <si>
    <t>Expense Category / App</t>
  </si>
  <si>
    <t>Target Budget (₹)</t>
  </si>
  <si>
    <t>Actual Expense (₹)</t>
  </si>
  <si>
    <t>Variance / Status</t>
  </si>
  <si>
    <t>Result Color</t>
  </si>
  <si>
    <t>Swiggy Food Delivery</t>
  </si>
  <si>
    <t>Saved ₹700</t>
  </si>
  <si>
    <t>Green (Under Target)</t>
  </si>
  <si>
    <t>Zomato Dineout</t>
  </si>
  <si>
    <t>Over by ₹650</t>
  </si>
  <si>
    <t>Red (Over Target)</t>
  </si>
  <si>
    <t>Myntra Shopping</t>
  </si>
  <si>
    <t>Saved ₹1,200</t>
  </si>
  <si>
    <t>Paytm Utility Bills</t>
  </si>
  <si>
    <t>Over by ₹450</t>
  </si>
  <si>
    <t>Amazon Online Orders</t>
  </si>
  <si>
    <t>Over by ₹200</t>
  </si>
  <si>
    <t>Uber / Ola Travel</t>
  </si>
  <si>
    <t>Saved ₹900</t>
  </si>
  <si>
    <t>Netflix / Spotify Subs</t>
  </si>
  <si>
    <t>Saved ₹1</t>
  </si>
  <si>
    <t>Grocery / Blinkit</t>
  </si>
  <si>
    <t>Over by ₹1,400</t>
  </si>
  <si>
    <t>Gym &amp; Fitness</t>
  </si>
  <si>
    <t>Saved ₹0</t>
  </si>
  <si>
    <t>Weekend Movies</t>
  </si>
  <si>
    <t>Over by ₹700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</si>
</sst>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\ \★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7F6000"/>
      <name val="Calibri"/>
      <family val="2"/>
    </font>
    <font>
      <i/>
      <sz val="10"/>
      <color rgb="FF595959"/>
      <name val="Calibri"/>
      <family val="2"/>
    </font>
    <font>
      <b/>
      <sz val="11"/>
      <name val="Calibri"/>
      <family val="2"/>
    </font>
    <font>
      <b/>
      <sz val="11"/>
      <color rgb="FF006100"/>
      <name val="Calibri"/>
      <family val="2"/>
    </font>
    <font>
      <b/>
      <sz val="11"/>
      <color rgb="FFC00000"/>
      <name val="Calibri"/>
      <family val="2"/>
    </font>
    <font>
      <b/>
      <sz val="11"/>
      <color rgb="FF1F4E78"/>
      <name val="Calibri"/>
      <family val="2"/>
    </font>
    <font>
      <b/>
      <sz val="11"/>
      <color rgb="FFC65911"/>
      <name val="Calibri"/>
      <family val="2"/>
    </font>
    <font>
      <b/>
      <sz val="11"/>
      <color rgb="FF375623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3" borderId="1" xfId="0" applyFont="1" applyFill="1" applyBorder="1"/>
    <xf numFmtId="0" fontId="4" fillId="0" borderId="1" xfId="0" applyFont="1" applyBorder="1"/>
    <xf numFmtId="0" fontId="5" fillId="3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3" fontId="10" fillId="4" borderId="1" xfId="0" applyNumberFormat="1" applyFont="1" applyFill="1" applyBorder="1" applyAlignment="1">
      <alignment horizontal="right"/>
    </xf>
    <xf numFmtId="0" fontId="10" fillId="4" borderId="1" xfId="0" applyFont="1" applyFill="1" applyBorder="1" applyAlignment="1">
      <alignment horizontal="center"/>
    </xf>
    <xf numFmtId="3" fontId="7" fillId="0" borderId="1" xfId="0" applyNumberFormat="1" applyFont="1" applyBorder="1" applyAlignment="1">
      <alignment horizontal="right"/>
    </xf>
    <xf numFmtId="3" fontId="11" fillId="5" borderId="1" xfId="0" applyNumberFormat="1" applyFont="1" applyFill="1" applyBorder="1" applyAlignment="1">
      <alignment horizontal="right"/>
    </xf>
    <xf numFmtId="0" fontId="11" fillId="5" borderId="1" xfId="0" applyFont="1" applyFill="1" applyBorder="1" applyAlignment="1">
      <alignment horizontal="center"/>
    </xf>
    <xf numFmtId="164" fontId="4" fillId="0" borderId="1" xfId="0" applyNumberFormat="1" applyFont="1" applyBorder="1" applyAlignment="1">
      <alignment horizontal="right"/>
    </xf>
    <xf numFmtId="164" fontId="12" fillId="6" borderId="1" xfId="0" applyNumberFormat="1" applyFont="1" applyFill="1" applyBorder="1" applyAlignment="1">
      <alignment horizontal="right"/>
    </xf>
    <xf numFmtId="0" fontId="12" fillId="6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9" fillId="5" borderId="1" xfId="0" applyNumberFormat="1" applyFont="1" applyFill="1" applyBorder="1" applyAlignment="1">
      <alignment horizontal="right"/>
    </xf>
    <xf numFmtId="0" fontId="9" fillId="5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5">
    <dxf>
      <font>
        <b/>
        <sz val="11"/>
        <color rgb="FFC00000"/>
        <name val="Calibri"/>
      </font>
      <fill>
        <patternFill patternType="solid">
          <fgColor rgb="FFFCE4D6"/>
          <bgColor rgb="FFFCE4D6"/>
        </patternFill>
      </fill>
    </dxf>
    <dxf>
      <font>
        <b/>
        <sz val="11"/>
        <color rgb="FF375623"/>
        <name val="Calibri"/>
      </font>
      <fill>
        <patternFill patternType="solid">
          <fgColor rgb="FFE2EFDA"/>
          <bgColor rgb="FFE2EFDA"/>
        </patternFill>
      </fill>
    </dxf>
    <dxf>
      <font>
        <b/>
        <sz val="11"/>
        <color rgb="FFC65911"/>
        <name val="Calibri"/>
      </font>
      <fill>
        <patternFill patternType="solid">
          <fgColor rgb="FFFCE4D6"/>
          <bgColor rgb="FFFCE4D6"/>
        </patternFill>
      </fill>
    </dxf>
    <dxf>
      <font>
        <b/>
        <sz val="11"/>
        <color rgb="FF1F4E78"/>
        <name val="Calibri"/>
      </font>
      <fill>
        <patternFill patternType="solid">
          <fgColor rgb="FFDDEBF7"/>
          <bgColor rgb="FFDDEBF7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9" sqref="A9"/>
    </sheetView>
  </sheetViews>
  <sheetFormatPr defaultRowHeight="14.5" x14ac:dyDescent="0.35"/>
  <cols>
    <col min="1" max="1" width="70" customWidth="1"/>
    <col min="2" max="2" width="19" customWidth="1"/>
    <col min="3" max="3" width="28" customWidth="1"/>
    <col min="4" max="4" width="19" customWidth="1"/>
    <col min="5" max="5" width="43" customWidth="1"/>
  </cols>
  <sheetData>
    <row r="1" spans="1:5" ht="32" customHeight="1" x14ac:dyDescent="0.35">
      <c r="A1" s="26" t="s">
        <v>0</v>
      </c>
      <c r="B1" s="27"/>
      <c r="C1" s="27"/>
      <c r="D1" s="27"/>
      <c r="E1" s="27"/>
    </row>
    <row r="3" spans="1:5" ht="17" x14ac:dyDescent="0.4">
      <c r="A3" s="1" t="s">
        <v>1</v>
      </c>
    </row>
    <row r="4" spans="1:5" x14ac:dyDescent="0.35">
      <c r="A4" s="2" t="s">
        <v>2</v>
      </c>
      <c r="B4" s="2" t="s">
        <v>3</v>
      </c>
      <c r="C4" s="2" t="s">
        <v>4</v>
      </c>
      <c r="D4" s="2" t="s">
        <v>5</v>
      </c>
    </row>
    <row r="5" spans="1:5" x14ac:dyDescent="0.35">
      <c r="A5" s="3" t="s">
        <v>7</v>
      </c>
      <c r="B5" s="4" t="s">
        <v>8</v>
      </c>
      <c r="C5" s="5" t="s">
        <v>9</v>
      </c>
      <c r="D5" s="6" t="s">
        <v>10</v>
      </c>
      <c r="E5" s="7"/>
    </row>
    <row r="6" spans="1:5" x14ac:dyDescent="0.35">
      <c r="A6" s="3" t="s">
        <v>11</v>
      </c>
      <c r="B6" s="4" t="s">
        <v>12</v>
      </c>
      <c r="C6" s="5" t="s">
        <v>13</v>
      </c>
      <c r="D6" s="6" t="s">
        <v>10</v>
      </c>
      <c r="E6" s="7"/>
    </row>
    <row r="7" spans="1:5" x14ac:dyDescent="0.35">
      <c r="A7" s="3" t="s">
        <v>14</v>
      </c>
      <c r="B7" s="4" t="s">
        <v>15</v>
      </c>
      <c r="C7" s="5" t="s">
        <v>16</v>
      </c>
      <c r="D7" s="6" t="s">
        <v>10</v>
      </c>
      <c r="E7" s="7"/>
    </row>
    <row r="8" spans="1:5" x14ac:dyDescent="0.35">
      <c r="A8" s="3" t="s">
        <v>17</v>
      </c>
      <c r="B8" s="5" t="s">
        <v>18</v>
      </c>
      <c r="C8" s="5" t="s">
        <v>19</v>
      </c>
      <c r="D8" s="8" t="s">
        <v>20</v>
      </c>
      <c r="E8" s="8"/>
    </row>
    <row r="9" spans="1:5" x14ac:dyDescent="0.35">
      <c r="A9" s="3" t="s">
        <v>22</v>
      </c>
      <c r="B9" s="4" t="s">
        <v>8</v>
      </c>
      <c r="C9" s="5" t="s">
        <v>23</v>
      </c>
      <c r="D9" s="6" t="s">
        <v>10</v>
      </c>
      <c r="E9" s="7"/>
    </row>
    <row r="10" spans="1:5" x14ac:dyDescent="0.35">
      <c r="A10" s="3" t="s">
        <v>24</v>
      </c>
      <c r="B10" s="5" t="s">
        <v>25</v>
      </c>
      <c r="C10" s="5" t="s">
        <v>26</v>
      </c>
      <c r="D10" s="8" t="s">
        <v>20</v>
      </c>
      <c r="E10" s="8"/>
    </row>
    <row r="11" spans="1:5" x14ac:dyDescent="0.35">
      <c r="A11" s="3" t="s">
        <v>27</v>
      </c>
      <c r="B11" s="4" t="s">
        <v>28</v>
      </c>
      <c r="C11" s="5" t="s">
        <v>9</v>
      </c>
      <c r="D11" s="6" t="s">
        <v>10</v>
      </c>
      <c r="E11" s="7"/>
    </row>
    <row r="12" spans="1:5" x14ac:dyDescent="0.35">
      <c r="A12" s="3" t="s">
        <v>29</v>
      </c>
      <c r="B12" s="5" t="s">
        <v>30</v>
      </c>
      <c r="C12" s="5" t="s">
        <v>31</v>
      </c>
      <c r="D12" s="8" t="s">
        <v>20</v>
      </c>
      <c r="E12" s="8"/>
    </row>
    <row r="13" spans="1:5" x14ac:dyDescent="0.35">
      <c r="A13" s="3" t="s">
        <v>32</v>
      </c>
      <c r="B13" s="4" t="s">
        <v>15</v>
      </c>
      <c r="C13" s="5" t="s">
        <v>33</v>
      </c>
      <c r="D13" s="6" t="s">
        <v>10</v>
      </c>
      <c r="E13" s="7"/>
    </row>
    <row r="14" spans="1:5" x14ac:dyDescent="0.35">
      <c r="A14" s="3" t="s">
        <v>34</v>
      </c>
      <c r="B14" s="5" t="s">
        <v>35</v>
      </c>
      <c r="C14" s="5" t="s">
        <v>9</v>
      </c>
      <c r="D14" s="8" t="s">
        <v>20</v>
      </c>
      <c r="E14" s="8"/>
    </row>
    <row r="15" spans="1:5" x14ac:dyDescent="0.35">
      <c r="A15" s="3" t="s">
        <v>36</v>
      </c>
      <c r="B15" s="5" t="s">
        <v>37</v>
      </c>
      <c r="C15" s="5" t="s">
        <v>38</v>
      </c>
      <c r="D15" s="8" t="s">
        <v>20</v>
      </c>
      <c r="E15" s="8"/>
    </row>
    <row r="16" spans="1:5" x14ac:dyDescent="0.35">
      <c r="A16" s="3" t="s">
        <v>39</v>
      </c>
      <c r="B16" s="4" t="s">
        <v>12</v>
      </c>
      <c r="C16" s="5" t="s">
        <v>40</v>
      </c>
      <c r="D16" s="6" t="s">
        <v>10</v>
      </c>
      <c r="E16" s="7"/>
    </row>
    <row r="17" spans="1:5" x14ac:dyDescent="0.35">
      <c r="A17" s="3" t="s">
        <v>41</v>
      </c>
      <c r="B17" s="5" t="s">
        <v>42</v>
      </c>
      <c r="C17" s="5" t="s">
        <v>26</v>
      </c>
      <c r="D17" s="8" t="s">
        <v>20</v>
      </c>
      <c r="E17" s="8"/>
    </row>
    <row r="18" spans="1:5" x14ac:dyDescent="0.35">
      <c r="A18" s="3" t="s">
        <v>43</v>
      </c>
      <c r="B18" s="5" t="s">
        <v>44</v>
      </c>
      <c r="C18" s="5" t="s">
        <v>45</v>
      </c>
      <c r="D18" s="8" t="s">
        <v>20</v>
      </c>
      <c r="E18" s="8"/>
    </row>
    <row r="19" spans="1:5" x14ac:dyDescent="0.35">
      <c r="A19" s="3" t="s">
        <v>46</v>
      </c>
      <c r="B19" s="5" t="s">
        <v>47</v>
      </c>
      <c r="C19" s="5" t="s">
        <v>48</v>
      </c>
      <c r="D19" s="8" t="s">
        <v>20</v>
      </c>
      <c r="E19" s="8"/>
    </row>
    <row r="20" spans="1:5" x14ac:dyDescent="0.35">
      <c r="A20" s="3" t="s">
        <v>49</v>
      </c>
      <c r="B20" s="4" t="s">
        <v>8</v>
      </c>
      <c r="C20" s="5" t="s">
        <v>50</v>
      </c>
      <c r="D20" s="6" t="s">
        <v>10</v>
      </c>
      <c r="E20" s="7"/>
    </row>
    <row r="21" spans="1:5" x14ac:dyDescent="0.35">
      <c r="A21" s="3" t="s">
        <v>51</v>
      </c>
      <c r="B21" s="5" t="s">
        <v>52</v>
      </c>
      <c r="C21" s="5" t="s">
        <v>53</v>
      </c>
      <c r="D21" s="8" t="s">
        <v>20</v>
      </c>
      <c r="E21" s="8"/>
    </row>
    <row r="22" spans="1:5" x14ac:dyDescent="0.35">
      <c r="A22" s="3" t="s">
        <v>54</v>
      </c>
      <c r="B22" s="4" t="s">
        <v>28</v>
      </c>
      <c r="C22" s="5" t="s">
        <v>55</v>
      </c>
      <c r="D22" s="6" t="s">
        <v>10</v>
      </c>
      <c r="E22" s="7"/>
    </row>
    <row r="23" spans="1:5" x14ac:dyDescent="0.35">
      <c r="A23" s="3" t="s">
        <v>56</v>
      </c>
      <c r="B23" s="5" t="s">
        <v>57</v>
      </c>
      <c r="C23" s="5" t="s">
        <v>9</v>
      </c>
      <c r="D23" s="8" t="s">
        <v>20</v>
      </c>
      <c r="E23" s="8"/>
    </row>
    <row r="24" spans="1:5" x14ac:dyDescent="0.35">
      <c r="A24" s="3" t="s">
        <v>58</v>
      </c>
      <c r="B24" s="5" t="s">
        <v>59</v>
      </c>
      <c r="C24" s="5" t="s">
        <v>60</v>
      </c>
      <c r="D24" s="8" t="s">
        <v>20</v>
      </c>
      <c r="E24" s="8"/>
    </row>
  </sheetData>
  <mergeCells count="1">
    <mergeCell ref="A1:E1"/>
  </mergeCells>
  <conditionalFormatting sqref="B5:B24">
    <cfRule type="duplicateValues" dxfId="4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/>
  </sheetViews>
  <sheetFormatPr defaultRowHeight="14.5" x14ac:dyDescent="0.35"/>
  <cols>
    <col min="1" max="1" width="93" customWidth="1"/>
    <col min="2" max="2" width="29" customWidth="1"/>
    <col min="3" max="4" width="14" customWidth="1"/>
    <col min="5" max="5" width="39" customWidth="1"/>
  </cols>
  <sheetData>
    <row r="1" spans="1:5" ht="32" customHeight="1" x14ac:dyDescent="0.35">
      <c r="A1" s="26" t="s">
        <v>61</v>
      </c>
      <c r="B1" s="27"/>
      <c r="C1" s="27"/>
      <c r="D1" s="27"/>
      <c r="E1" s="27"/>
    </row>
    <row r="3" spans="1:5" ht="17" x14ac:dyDescent="0.4">
      <c r="A3" s="1" t="s">
        <v>62</v>
      </c>
    </row>
    <row r="4" spans="1:5" x14ac:dyDescent="0.35">
      <c r="A4" s="2" t="s">
        <v>63</v>
      </c>
      <c r="B4" s="2" t="s">
        <v>64</v>
      </c>
      <c r="C4" s="2" t="s">
        <v>65</v>
      </c>
      <c r="D4" s="2" t="s">
        <v>66</v>
      </c>
      <c r="E4" s="2" t="s">
        <v>67</v>
      </c>
    </row>
    <row r="5" spans="1:5" x14ac:dyDescent="0.35">
      <c r="A5" s="3" t="s">
        <v>68</v>
      </c>
      <c r="B5" s="5" t="s">
        <v>69</v>
      </c>
      <c r="C5" s="5" t="s">
        <v>70</v>
      </c>
      <c r="D5" s="9">
        <v>299</v>
      </c>
      <c r="E5" s="7" t="s">
        <v>71</v>
      </c>
    </row>
    <row r="6" spans="1:5" x14ac:dyDescent="0.35">
      <c r="A6" s="3" t="s">
        <v>72</v>
      </c>
      <c r="B6" s="5" t="s">
        <v>73</v>
      </c>
      <c r="C6" s="5" t="s">
        <v>70</v>
      </c>
      <c r="D6" s="9">
        <v>399</v>
      </c>
      <c r="E6" s="7" t="s">
        <v>74</v>
      </c>
    </row>
    <row r="7" spans="1:5" x14ac:dyDescent="0.35">
      <c r="A7" s="3" t="s">
        <v>75</v>
      </c>
      <c r="B7" s="5" t="s">
        <v>76</v>
      </c>
      <c r="C7" s="5" t="s">
        <v>70</v>
      </c>
      <c r="D7" s="9">
        <v>499</v>
      </c>
      <c r="E7" s="7" t="s">
        <v>74</v>
      </c>
    </row>
    <row r="8" spans="1:5" x14ac:dyDescent="0.35">
      <c r="A8" s="3" t="s">
        <v>77</v>
      </c>
      <c r="B8" s="5" t="s">
        <v>78</v>
      </c>
      <c r="C8" s="5" t="s">
        <v>79</v>
      </c>
      <c r="D8" s="9">
        <v>699</v>
      </c>
      <c r="E8" s="7" t="s">
        <v>74</v>
      </c>
    </row>
    <row r="9" spans="1:5" x14ac:dyDescent="0.35">
      <c r="A9" s="3" t="s">
        <v>80</v>
      </c>
      <c r="B9" s="5" t="s">
        <v>81</v>
      </c>
      <c r="C9" s="5" t="s">
        <v>79</v>
      </c>
      <c r="D9" s="9">
        <v>1299</v>
      </c>
      <c r="E9" s="7" t="s">
        <v>74</v>
      </c>
    </row>
    <row r="10" spans="1:5" x14ac:dyDescent="0.35">
      <c r="A10" s="3" t="s">
        <v>82</v>
      </c>
      <c r="B10" s="5" t="s">
        <v>83</v>
      </c>
      <c r="C10" s="5" t="s">
        <v>84</v>
      </c>
      <c r="D10" s="9">
        <v>1799</v>
      </c>
      <c r="E10" s="7" t="s">
        <v>74</v>
      </c>
    </row>
    <row r="11" spans="1:5" x14ac:dyDescent="0.35">
      <c r="A11" s="3" t="s">
        <v>85</v>
      </c>
      <c r="B11" s="5" t="s">
        <v>86</v>
      </c>
      <c r="C11" s="5" t="s">
        <v>87</v>
      </c>
      <c r="D11" s="9">
        <v>1999</v>
      </c>
      <c r="E11" s="7" t="s">
        <v>74</v>
      </c>
    </row>
    <row r="12" spans="1:5" x14ac:dyDescent="0.35">
      <c r="A12" s="3" t="s">
        <v>88</v>
      </c>
      <c r="B12" s="5" t="s">
        <v>89</v>
      </c>
      <c r="C12" s="5" t="s">
        <v>79</v>
      </c>
      <c r="D12" s="9">
        <v>3499</v>
      </c>
      <c r="E12" s="7" t="s">
        <v>90</v>
      </c>
    </row>
    <row r="13" spans="1:5" x14ac:dyDescent="0.35">
      <c r="A13" s="3" t="s">
        <v>91</v>
      </c>
      <c r="B13" s="5" t="s">
        <v>92</v>
      </c>
      <c r="C13" s="5" t="s">
        <v>70</v>
      </c>
      <c r="D13" s="9">
        <v>2199</v>
      </c>
      <c r="E13" s="7" t="s">
        <v>90</v>
      </c>
    </row>
    <row r="14" spans="1:5" x14ac:dyDescent="0.35">
      <c r="A14" s="3" t="s">
        <v>93</v>
      </c>
      <c r="B14" s="5" t="s">
        <v>94</v>
      </c>
      <c r="C14" s="5" t="s">
        <v>70</v>
      </c>
      <c r="D14" s="9">
        <v>8995</v>
      </c>
      <c r="E14" s="7" t="s">
        <v>90</v>
      </c>
    </row>
    <row r="15" spans="1:5" x14ac:dyDescent="0.35">
      <c r="A15" s="3" t="s">
        <v>95</v>
      </c>
      <c r="B15" s="5" t="s">
        <v>96</v>
      </c>
      <c r="C15" s="5" t="s">
        <v>97</v>
      </c>
      <c r="D15" s="9">
        <v>14999</v>
      </c>
      <c r="E15" s="7" t="s">
        <v>90</v>
      </c>
    </row>
    <row r="16" spans="1:5" x14ac:dyDescent="0.35">
      <c r="A16" s="3" t="s">
        <v>98</v>
      </c>
      <c r="B16" s="5" t="s">
        <v>99</v>
      </c>
      <c r="C16" s="5" t="s">
        <v>79</v>
      </c>
      <c r="D16" s="9">
        <v>28990</v>
      </c>
      <c r="E16" s="7" t="s">
        <v>90</v>
      </c>
    </row>
    <row r="17" spans="1:5" x14ac:dyDescent="0.35">
      <c r="A17" s="3" t="s">
        <v>100</v>
      </c>
      <c r="B17" s="5" t="s">
        <v>101</v>
      </c>
      <c r="C17" s="5" t="s">
        <v>102</v>
      </c>
      <c r="D17" s="9">
        <v>64999</v>
      </c>
      <c r="E17" s="7" t="s">
        <v>103</v>
      </c>
    </row>
    <row r="18" spans="1:5" x14ac:dyDescent="0.35">
      <c r="A18" s="3" t="s">
        <v>104</v>
      </c>
      <c r="B18" s="5" t="s">
        <v>105</v>
      </c>
      <c r="C18" s="5" t="s">
        <v>102</v>
      </c>
      <c r="D18" s="9">
        <v>69999</v>
      </c>
      <c r="E18" s="7" t="s">
        <v>103</v>
      </c>
    </row>
    <row r="19" spans="1:5" x14ac:dyDescent="0.35">
      <c r="A19" s="3" t="s">
        <v>106</v>
      </c>
      <c r="B19" s="5" t="s">
        <v>107</v>
      </c>
      <c r="C19" s="5" t="s">
        <v>102</v>
      </c>
      <c r="D19" s="9">
        <v>129999</v>
      </c>
      <c r="E19" s="7" t="s">
        <v>108</v>
      </c>
    </row>
  </sheetData>
  <mergeCells count="1">
    <mergeCell ref="A1:E1"/>
  </mergeCells>
  <conditionalFormatting sqref="D5:D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/>
  </sheetViews>
  <sheetFormatPr defaultRowHeight="14.5" x14ac:dyDescent="0.35"/>
  <cols>
    <col min="1" max="1" width="83" customWidth="1"/>
    <col min="2" max="2" width="22" customWidth="1"/>
    <col min="3" max="3" width="15" customWidth="1"/>
    <col min="4" max="4" width="22" customWidth="1"/>
    <col min="5" max="5" width="24" customWidth="1"/>
  </cols>
  <sheetData>
    <row r="1" spans="1:5" ht="32" customHeight="1" x14ac:dyDescent="0.35">
      <c r="A1" s="26" t="s">
        <v>109</v>
      </c>
      <c r="B1" s="27"/>
      <c r="C1" s="27"/>
      <c r="D1" s="27"/>
      <c r="E1" s="27"/>
    </row>
    <row r="3" spans="1:5" ht="17" x14ac:dyDescent="0.4">
      <c r="A3" s="1" t="s">
        <v>110</v>
      </c>
    </row>
    <row r="4" spans="1:5" x14ac:dyDescent="0.35">
      <c r="A4" s="2" t="s">
        <v>111</v>
      </c>
      <c r="B4" s="2" t="s">
        <v>112</v>
      </c>
      <c r="C4" s="2" t="s">
        <v>113</v>
      </c>
      <c r="D4" s="2" t="s">
        <v>114</v>
      </c>
      <c r="E4" s="2" t="s">
        <v>115</v>
      </c>
    </row>
    <row r="5" spans="1:5" x14ac:dyDescent="0.35">
      <c r="A5" s="3" t="s">
        <v>116</v>
      </c>
      <c r="B5" s="5" t="s">
        <v>117</v>
      </c>
      <c r="C5" s="10">
        <v>5</v>
      </c>
      <c r="D5" s="11" t="s">
        <v>118</v>
      </c>
      <c r="E5" s="8" t="s">
        <v>119</v>
      </c>
    </row>
    <row r="6" spans="1:5" x14ac:dyDescent="0.35">
      <c r="A6" s="3" t="s">
        <v>120</v>
      </c>
      <c r="B6" s="5" t="s">
        <v>121</v>
      </c>
      <c r="C6" s="10">
        <v>4.5</v>
      </c>
      <c r="D6" s="11" t="s">
        <v>118</v>
      </c>
      <c r="E6" s="8" t="s">
        <v>119</v>
      </c>
    </row>
    <row r="7" spans="1:5" x14ac:dyDescent="0.35">
      <c r="A7" s="3" t="s">
        <v>122</v>
      </c>
      <c r="B7" s="5" t="s">
        <v>123</v>
      </c>
      <c r="C7" s="10">
        <v>3</v>
      </c>
      <c r="D7" s="12" t="s">
        <v>124</v>
      </c>
      <c r="E7" s="8" t="s">
        <v>125</v>
      </c>
    </row>
    <row r="8" spans="1:5" x14ac:dyDescent="0.35">
      <c r="A8" s="3" t="s">
        <v>126</v>
      </c>
      <c r="B8" s="5" t="s">
        <v>127</v>
      </c>
      <c r="C8" s="10">
        <v>2.5</v>
      </c>
      <c r="D8" s="13" t="s">
        <v>128</v>
      </c>
      <c r="E8" s="8" t="s">
        <v>129</v>
      </c>
    </row>
    <row r="9" spans="1:5" x14ac:dyDescent="0.35">
      <c r="A9" s="3" t="s">
        <v>130</v>
      </c>
      <c r="B9" s="5" t="s">
        <v>131</v>
      </c>
      <c r="C9" s="10">
        <v>4.8</v>
      </c>
      <c r="D9" s="11" t="s">
        <v>118</v>
      </c>
      <c r="E9" s="8" t="s">
        <v>119</v>
      </c>
    </row>
    <row r="10" spans="1:5" x14ac:dyDescent="0.35">
      <c r="A10" s="3" t="s">
        <v>132</v>
      </c>
      <c r="B10" s="5" t="s">
        <v>133</v>
      </c>
      <c r="C10" s="10">
        <v>3</v>
      </c>
      <c r="D10" s="12" t="s">
        <v>124</v>
      </c>
      <c r="E10" s="8" t="s">
        <v>125</v>
      </c>
    </row>
    <row r="11" spans="1:5" x14ac:dyDescent="0.35">
      <c r="A11" s="3" t="s">
        <v>134</v>
      </c>
      <c r="B11" s="5" t="s">
        <v>135</v>
      </c>
      <c r="C11" s="10">
        <v>2</v>
      </c>
      <c r="D11" s="13" t="s">
        <v>128</v>
      </c>
      <c r="E11" s="8" t="s">
        <v>129</v>
      </c>
    </row>
    <row r="12" spans="1:5" x14ac:dyDescent="0.35">
      <c r="A12" s="3" t="s">
        <v>136</v>
      </c>
      <c r="B12" s="5" t="s">
        <v>137</v>
      </c>
      <c r="C12" s="10">
        <v>4.7</v>
      </c>
      <c r="D12" s="11" t="s">
        <v>118</v>
      </c>
      <c r="E12" s="8" t="s">
        <v>119</v>
      </c>
    </row>
    <row r="13" spans="1:5" x14ac:dyDescent="0.35">
      <c r="A13" s="3" t="s">
        <v>138</v>
      </c>
      <c r="B13" s="5" t="s">
        <v>139</v>
      </c>
      <c r="C13" s="10">
        <v>3.5</v>
      </c>
      <c r="D13" s="12" t="s">
        <v>124</v>
      </c>
      <c r="E13" s="8" t="s">
        <v>125</v>
      </c>
    </row>
    <row r="14" spans="1:5" x14ac:dyDescent="0.35">
      <c r="A14" s="3" t="s">
        <v>140</v>
      </c>
      <c r="B14" s="5" t="s">
        <v>141</v>
      </c>
      <c r="C14" s="10">
        <v>1.5</v>
      </c>
      <c r="D14" s="13" t="s">
        <v>128</v>
      </c>
      <c r="E14" s="8" t="s">
        <v>129</v>
      </c>
    </row>
    <row r="15" spans="1:5" x14ac:dyDescent="0.35">
      <c r="A15" s="3" t="s">
        <v>142</v>
      </c>
      <c r="B15" s="5" t="s">
        <v>143</v>
      </c>
      <c r="C15" s="10">
        <v>4.2</v>
      </c>
      <c r="D15" s="11" t="s">
        <v>118</v>
      </c>
      <c r="E15" s="8" t="s">
        <v>119</v>
      </c>
    </row>
    <row r="16" spans="1:5" x14ac:dyDescent="0.35">
      <c r="A16" s="3" t="s">
        <v>144</v>
      </c>
      <c r="B16" s="5" t="s">
        <v>145</v>
      </c>
      <c r="C16" s="10">
        <v>4</v>
      </c>
      <c r="D16" s="11" t="s">
        <v>118</v>
      </c>
      <c r="E16" s="8" t="s">
        <v>119</v>
      </c>
    </row>
    <row r="17" spans="1:5" x14ac:dyDescent="0.35">
      <c r="A17" s="3" t="s">
        <v>146</v>
      </c>
      <c r="B17" s="5" t="s">
        <v>147</v>
      </c>
      <c r="C17" s="10">
        <v>3</v>
      </c>
      <c r="D17" s="12" t="s">
        <v>124</v>
      </c>
      <c r="E17" s="8" t="s">
        <v>125</v>
      </c>
    </row>
    <row r="18" spans="1:5" x14ac:dyDescent="0.35">
      <c r="A18" s="3" t="s">
        <v>148</v>
      </c>
      <c r="B18" s="5" t="s">
        <v>149</v>
      </c>
      <c r="C18" s="10">
        <v>2.8</v>
      </c>
      <c r="D18" s="13" t="s">
        <v>128</v>
      </c>
      <c r="E18" s="8" t="s">
        <v>129</v>
      </c>
    </row>
    <row r="19" spans="1:5" x14ac:dyDescent="0.35">
      <c r="A19" s="3" t="s">
        <v>150</v>
      </c>
      <c r="B19" s="5" t="s">
        <v>151</v>
      </c>
      <c r="C19" s="10">
        <v>4.9000000000000004</v>
      </c>
      <c r="D19" s="11" t="s">
        <v>118</v>
      </c>
      <c r="E19" s="8" t="s">
        <v>119</v>
      </c>
    </row>
  </sheetData>
  <mergeCells count="1">
    <mergeCell ref="A1:E1"/>
  </mergeCells>
  <conditionalFormatting sqref="C5:C19">
    <cfRule type="iconSet" priority="1">
      <iconSet>
        <cfvo type="num" val="4"/>
        <cfvo type="num" val="3"/>
        <cfvo type="num" val="0"/>
      </iconSet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workbookViewId="0"/>
  </sheetViews>
  <sheetFormatPr defaultRowHeight="14.5" x14ac:dyDescent="0.35"/>
  <cols>
    <col min="1" max="1" width="73" customWidth="1"/>
    <col min="2" max="3" width="14" customWidth="1"/>
    <col min="4" max="4" width="22" customWidth="1"/>
    <col min="5" max="5" width="29" customWidth="1"/>
  </cols>
  <sheetData>
    <row r="1" spans="1:5" ht="32" customHeight="1" x14ac:dyDescent="0.35">
      <c r="A1" s="26" t="s">
        <v>152</v>
      </c>
      <c r="B1" s="27"/>
      <c r="C1" s="27"/>
      <c r="D1" s="27"/>
      <c r="E1" s="27"/>
    </row>
    <row r="3" spans="1:5" ht="17" x14ac:dyDescent="0.4">
      <c r="A3" s="1" t="s">
        <v>153</v>
      </c>
    </row>
    <row r="4" spans="1:5" x14ac:dyDescent="0.35">
      <c r="A4" s="2" t="s">
        <v>154</v>
      </c>
      <c r="B4" s="2" t="s">
        <v>155</v>
      </c>
      <c r="C4" s="2" t="s">
        <v>156</v>
      </c>
      <c r="D4" s="2" t="s">
        <v>157</v>
      </c>
      <c r="E4" s="2" t="s">
        <v>158</v>
      </c>
    </row>
    <row r="5" spans="1:5" x14ac:dyDescent="0.35">
      <c r="A5" s="5" t="s">
        <v>159</v>
      </c>
      <c r="B5" s="3" t="s">
        <v>160</v>
      </c>
      <c r="C5" s="14">
        <v>741</v>
      </c>
      <c r="D5" s="15" t="s">
        <v>161</v>
      </c>
      <c r="E5" s="7" t="b">
        <f>C5&gt;=LARGE($C$5:$C$20, 3)</f>
        <v>1</v>
      </c>
    </row>
    <row r="6" spans="1:5" x14ac:dyDescent="0.35">
      <c r="A6" s="5" t="s">
        <v>162</v>
      </c>
      <c r="B6" s="3" t="s">
        <v>163</v>
      </c>
      <c r="C6" s="14">
        <v>583</v>
      </c>
      <c r="D6" s="15" t="s">
        <v>161</v>
      </c>
      <c r="E6" s="7" t="b">
        <f>C6&gt;=LARGE($C$5:$C$20, 3)</f>
        <v>1</v>
      </c>
    </row>
    <row r="7" spans="1:5" x14ac:dyDescent="0.35">
      <c r="A7" s="5" t="s">
        <v>164</v>
      </c>
      <c r="B7" s="3" t="s">
        <v>165</v>
      </c>
      <c r="C7" s="14">
        <v>573</v>
      </c>
      <c r="D7" s="15" t="s">
        <v>161</v>
      </c>
      <c r="E7" s="7" t="b">
        <f>C7&gt;=LARGE($C$5:$C$20, 3)</f>
        <v>1</v>
      </c>
    </row>
    <row r="8" spans="1:5" x14ac:dyDescent="0.35">
      <c r="A8" s="5" t="s">
        <v>166</v>
      </c>
      <c r="B8" s="3" t="s">
        <v>167</v>
      </c>
      <c r="C8" s="16">
        <v>567</v>
      </c>
      <c r="D8" s="8" t="s">
        <v>168</v>
      </c>
      <c r="E8" s="8" t="s">
        <v>21</v>
      </c>
    </row>
    <row r="9" spans="1:5" x14ac:dyDescent="0.35">
      <c r="A9" s="5" t="s">
        <v>169</v>
      </c>
      <c r="B9" s="3" t="s">
        <v>165</v>
      </c>
      <c r="C9" s="16">
        <v>531</v>
      </c>
      <c r="D9" s="8" t="s">
        <v>168</v>
      </c>
      <c r="E9" s="8" t="s">
        <v>21</v>
      </c>
    </row>
    <row r="10" spans="1:5" x14ac:dyDescent="0.35">
      <c r="A10" s="5" t="s">
        <v>170</v>
      </c>
      <c r="B10" s="3" t="s">
        <v>171</v>
      </c>
      <c r="C10" s="16">
        <v>426</v>
      </c>
      <c r="D10" s="8" t="s">
        <v>168</v>
      </c>
      <c r="E10" s="8" t="s">
        <v>21</v>
      </c>
    </row>
    <row r="11" spans="1:5" x14ac:dyDescent="0.35">
      <c r="A11" s="5" t="s">
        <v>172</v>
      </c>
      <c r="B11" s="3" t="s">
        <v>173</v>
      </c>
      <c r="C11" s="16">
        <v>417</v>
      </c>
      <c r="D11" s="8" t="s">
        <v>168</v>
      </c>
      <c r="E11" s="8" t="s">
        <v>21</v>
      </c>
    </row>
    <row r="12" spans="1:5" x14ac:dyDescent="0.35">
      <c r="A12" s="5" t="s">
        <v>174</v>
      </c>
      <c r="B12" s="3" t="s">
        <v>175</v>
      </c>
      <c r="C12" s="16">
        <v>520</v>
      </c>
      <c r="D12" s="8" t="s">
        <v>168</v>
      </c>
      <c r="E12" s="8" t="s">
        <v>21</v>
      </c>
    </row>
    <row r="13" spans="1:5" x14ac:dyDescent="0.35">
      <c r="A13" s="5" t="s">
        <v>176</v>
      </c>
      <c r="B13" s="3" t="s">
        <v>175</v>
      </c>
      <c r="C13" s="16">
        <v>499</v>
      </c>
      <c r="D13" s="8" t="s">
        <v>168</v>
      </c>
      <c r="E13" s="8" t="s">
        <v>21</v>
      </c>
    </row>
    <row r="14" spans="1:5" x14ac:dyDescent="0.35">
      <c r="A14" s="5" t="s">
        <v>177</v>
      </c>
      <c r="B14" s="3" t="s">
        <v>178</v>
      </c>
      <c r="C14" s="16">
        <v>488</v>
      </c>
      <c r="D14" s="8" t="s">
        <v>168</v>
      </c>
      <c r="E14" s="8" t="s">
        <v>21</v>
      </c>
    </row>
    <row r="15" spans="1:5" x14ac:dyDescent="0.35">
      <c r="A15" s="5" t="s">
        <v>179</v>
      </c>
      <c r="B15" s="3" t="s">
        <v>167</v>
      </c>
      <c r="C15" s="16">
        <v>479</v>
      </c>
      <c r="D15" s="8" t="s">
        <v>168</v>
      </c>
      <c r="E15" s="8" t="s">
        <v>21</v>
      </c>
    </row>
    <row r="16" spans="1:5" x14ac:dyDescent="0.35">
      <c r="A16" s="5" t="s">
        <v>180</v>
      </c>
      <c r="B16" s="3" t="s">
        <v>178</v>
      </c>
      <c r="C16" s="16">
        <v>435</v>
      </c>
      <c r="D16" s="8" t="s">
        <v>168</v>
      </c>
      <c r="E16" s="8" t="s">
        <v>21</v>
      </c>
    </row>
    <row r="17" spans="1:5" x14ac:dyDescent="0.35">
      <c r="A17" s="5" t="s">
        <v>181</v>
      </c>
      <c r="B17" s="3" t="s">
        <v>171</v>
      </c>
      <c r="C17" s="16">
        <v>527</v>
      </c>
      <c r="D17" s="8" t="s">
        <v>168</v>
      </c>
      <c r="E17" s="8" t="s">
        <v>21</v>
      </c>
    </row>
    <row r="18" spans="1:5" x14ac:dyDescent="0.35">
      <c r="A18" s="5" t="s">
        <v>182</v>
      </c>
      <c r="B18" s="3" t="s">
        <v>160</v>
      </c>
      <c r="C18" s="17">
        <v>395</v>
      </c>
      <c r="D18" s="18" t="s">
        <v>183</v>
      </c>
      <c r="E18" s="7" t="b">
        <f>C18&lt;=SMALL($C$5:$C$20, 3)</f>
        <v>1</v>
      </c>
    </row>
    <row r="19" spans="1:5" x14ac:dyDescent="0.35">
      <c r="A19" s="5" t="s">
        <v>184</v>
      </c>
      <c r="B19" s="3" t="s">
        <v>160</v>
      </c>
      <c r="C19" s="17">
        <v>326</v>
      </c>
      <c r="D19" s="18" t="s">
        <v>183</v>
      </c>
      <c r="E19" s="7" t="b">
        <f>C19&lt;=SMALL($C$5:$C$20, 3)</f>
        <v>1</v>
      </c>
    </row>
    <row r="20" spans="1:5" x14ac:dyDescent="0.35">
      <c r="A20" s="5" t="s">
        <v>185</v>
      </c>
      <c r="B20" s="3" t="s">
        <v>178</v>
      </c>
      <c r="C20" s="17">
        <v>168</v>
      </c>
      <c r="D20" s="18" t="s">
        <v>183</v>
      </c>
      <c r="E20" s="7" t="b">
        <f>C20&lt;=SMALL($C$5:$C$20, 3)</f>
        <v>1</v>
      </c>
    </row>
  </sheetData>
  <mergeCells count="1">
    <mergeCell ref="A1:E1"/>
  </mergeCells>
  <conditionalFormatting sqref="C5:C20">
    <cfRule type="top10" dxfId="3" priority="1" rank="3"/>
    <cfRule type="top10" dxfId="2" priority="2" bottom="1" rank="3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/>
  </sheetViews>
  <sheetFormatPr defaultRowHeight="14.5" x14ac:dyDescent="0.35"/>
  <cols>
    <col min="1" max="1" width="90" customWidth="1"/>
    <col min="2" max="2" width="20" customWidth="1"/>
    <col min="3" max="3" width="21" customWidth="1"/>
    <col min="4" max="4" width="20" customWidth="1"/>
    <col min="5" max="5" width="23" customWidth="1"/>
    <col min="6" max="6" width="15" customWidth="1"/>
  </cols>
  <sheetData>
    <row r="1" spans="1:6" ht="32" customHeight="1" x14ac:dyDescent="0.35">
      <c r="A1" s="26" t="s">
        <v>186</v>
      </c>
      <c r="B1" s="27"/>
      <c r="C1" s="27"/>
      <c r="D1" s="27"/>
      <c r="E1" s="27"/>
      <c r="F1" s="27"/>
    </row>
    <row r="3" spans="1:6" ht="17" x14ac:dyDescent="0.4">
      <c r="A3" s="1" t="s">
        <v>187</v>
      </c>
    </row>
    <row r="4" spans="1:6" x14ac:dyDescent="0.35">
      <c r="A4" s="2" t="s">
        <v>188</v>
      </c>
      <c r="B4" s="2" t="s">
        <v>189</v>
      </c>
      <c r="C4" s="2" t="s">
        <v>190</v>
      </c>
      <c r="D4" s="2" t="s">
        <v>191</v>
      </c>
      <c r="E4" s="2" t="s">
        <v>192</v>
      </c>
      <c r="F4" s="2" t="s">
        <v>6</v>
      </c>
    </row>
    <row r="5" spans="1:6" x14ac:dyDescent="0.35">
      <c r="A5" s="5" t="s">
        <v>193</v>
      </c>
      <c r="B5" s="19">
        <v>4500</v>
      </c>
      <c r="C5" s="20">
        <v>3800</v>
      </c>
      <c r="D5" s="21" t="s">
        <v>194</v>
      </c>
      <c r="E5" s="22" t="s">
        <v>195</v>
      </c>
      <c r="F5" s="7" t="b">
        <f>C5&lt;=B5</f>
        <v>1</v>
      </c>
    </row>
    <row r="6" spans="1:6" x14ac:dyDescent="0.35">
      <c r="A6" s="5" t="s">
        <v>196</v>
      </c>
      <c r="B6" s="19">
        <v>3000</v>
      </c>
      <c r="C6" s="23">
        <v>3650</v>
      </c>
      <c r="D6" s="24" t="s">
        <v>197</v>
      </c>
      <c r="E6" s="25" t="s">
        <v>198</v>
      </c>
      <c r="F6" s="7" t="b">
        <f>C6&gt;B6</f>
        <v>1</v>
      </c>
    </row>
    <row r="7" spans="1:6" x14ac:dyDescent="0.35">
      <c r="A7" s="5" t="s">
        <v>199</v>
      </c>
      <c r="B7" s="19">
        <v>6000</v>
      </c>
      <c r="C7" s="20">
        <v>4800</v>
      </c>
      <c r="D7" s="21" t="s">
        <v>200</v>
      </c>
      <c r="E7" s="22" t="s">
        <v>195</v>
      </c>
      <c r="F7" s="7" t="b">
        <f>C7&lt;=B7</f>
        <v>1</v>
      </c>
    </row>
    <row r="8" spans="1:6" x14ac:dyDescent="0.35">
      <c r="A8" s="5" t="s">
        <v>201</v>
      </c>
      <c r="B8" s="19">
        <v>3500</v>
      </c>
      <c r="C8" s="23">
        <v>3950</v>
      </c>
      <c r="D8" s="24" t="s">
        <v>202</v>
      </c>
      <c r="E8" s="25" t="s">
        <v>198</v>
      </c>
      <c r="F8" s="7" t="b">
        <f>C8&gt;B8</f>
        <v>1</v>
      </c>
    </row>
    <row r="9" spans="1:6" x14ac:dyDescent="0.35">
      <c r="A9" s="5" t="s">
        <v>203</v>
      </c>
      <c r="B9" s="19">
        <v>5000</v>
      </c>
      <c r="C9" s="23">
        <v>5200</v>
      </c>
      <c r="D9" s="24" t="s">
        <v>204</v>
      </c>
      <c r="E9" s="25" t="s">
        <v>198</v>
      </c>
      <c r="F9" s="7" t="b">
        <f>C9&gt;B9</f>
        <v>1</v>
      </c>
    </row>
    <row r="10" spans="1:6" x14ac:dyDescent="0.35">
      <c r="A10" s="5" t="s">
        <v>205</v>
      </c>
      <c r="B10" s="19">
        <v>4000</v>
      </c>
      <c r="C10" s="20">
        <v>3100</v>
      </c>
      <c r="D10" s="21" t="s">
        <v>206</v>
      </c>
      <c r="E10" s="22" t="s">
        <v>195</v>
      </c>
      <c r="F10" s="7" t="b">
        <f>C10&lt;=B10</f>
        <v>1</v>
      </c>
    </row>
    <row r="11" spans="1:6" x14ac:dyDescent="0.35">
      <c r="A11" s="5" t="s">
        <v>207</v>
      </c>
      <c r="B11" s="19">
        <v>1200</v>
      </c>
      <c r="C11" s="20">
        <v>1199</v>
      </c>
      <c r="D11" s="21" t="s">
        <v>208</v>
      </c>
      <c r="E11" s="22" t="s">
        <v>195</v>
      </c>
      <c r="F11" s="7" t="b">
        <f>C11&lt;=B11</f>
        <v>1</v>
      </c>
    </row>
    <row r="12" spans="1:6" x14ac:dyDescent="0.35">
      <c r="A12" s="5" t="s">
        <v>209</v>
      </c>
      <c r="B12" s="19">
        <v>7000</v>
      </c>
      <c r="C12" s="23">
        <v>8400</v>
      </c>
      <c r="D12" s="24" t="s">
        <v>210</v>
      </c>
      <c r="E12" s="25" t="s">
        <v>198</v>
      </c>
      <c r="F12" s="7" t="b">
        <f>C12&gt;B12</f>
        <v>1</v>
      </c>
    </row>
    <row r="13" spans="1:6" x14ac:dyDescent="0.35">
      <c r="A13" s="5" t="s">
        <v>211</v>
      </c>
      <c r="B13" s="19">
        <v>2500</v>
      </c>
      <c r="C13" s="20">
        <v>2500</v>
      </c>
      <c r="D13" s="21" t="s">
        <v>212</v>
      </c>
      <c r="E13" s="22" t="s">
        <v>195</v>
      </c>
      <c r="F13" s="7" t="b">
        <f>C13&lt;=B13</f>
        <v>1</v>
      </c>
    </row>
    <row r="14" spans="1:6" x14ac:dyDescent="0.35">
      <c r="A14" s="5" t="s">
        <v>213</v>
      </c>
      <c r="B14" s="19">
        <v>2000</v>
      </c>
      <c r="C14" s="23">
        <v>2700</v>
      </c>
      <c r="D14" s="24" t="s">
        <v>214</v>
      </c>
      <c r="E14" s="25" t="s">
        <v>198</v>
      </c>
      <c r="F14" s="7" t="b">
        <f>C14&gt;B14</f>
        <v>1</v>
      </c>
    </row>
  </sheetData>
  <mergeCells count="1">
    <mergeCell ref="A1:F1"/>
  </mergeCells>
  <conditionalFormatting sqref="C5:C14">
    <cfRule type="expression" dxfId="1" priority="1">
      <formula>C5&lt;=B5</formula>
    </cfRule>
    <cfRule type="expression" dxfId="0" priority="2">
      <formula>C5&gt;B5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1 - Duplicates</vt:lpstr>
      <vt:lpstr>Task 2 - Color Scale</vt:lpstr>
      <vt:lpstr>Task 3 - Traffic Lights</vt:lpstr>
      <vt:lpstr>Task 4 - Top &amp; Bottom 3</vt:lpstr>
      <vt:lpstr>Task 5 - Expense vs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barot</cp:lastModifiedBy>
  <dcterms:created xsi:type="dcterms:W3CDTF">2026-10-01T06:48:36Z</dcterms:created>
  <dcterms:modified xsi:type="dcterms:W3CDTF">2026-10-01T06:50:13Z</dcterms:modified>
</cp:coreProperties>
</file>