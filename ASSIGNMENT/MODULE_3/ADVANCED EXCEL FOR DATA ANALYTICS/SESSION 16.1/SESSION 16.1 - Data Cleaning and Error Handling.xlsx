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16.1/"/>
    </mc:Choice>
  </mc:AlternateContent>
  <xr:revisionPtr revIDLastSave="14" documentId="11_A01D3117F26B902DB71C183F8F0C7253B85B8DD5" xr6:coauthVersionLast="47" xr6:coauthVersionMax="47" xr10:uidLastSave="{217221FB-994F-44BF-927A-AA4150EC5E11}"/>
  <bookViews>
    <workbookView xWindow="-110" yWindow="-110" windowWidth="19420" windowHeight="11020" firstSheet="4" activeTab="5" xr2:uid="{00000000-000D-0000-FFFF-FFFF00000000}"/>
  </bookViews>
  <sheets>
    <sheet name="Executive Overview &amp; Demo" sheetId="1" r:id="rId1"/>
    <sheet name="Task 1 - Remove Duplicates" sheetId="2" r:id="rId2"/>
    <sheet name="Task 2 - Text to Columns" sheetId="3" r:id="rId3"/>
    <sheet name="Task 3 - Flash Fill" sheetId="4" r:id="rId4"/>
    <sheet name="Task 4 - Wildcard Replace" sheetId="5" r:id="rId5"/>
    <sheet name="Task 5 - Error Handli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6" l="1"/>
  <c r="K15" i="6"/>
  <c r="E15" i="6"/>
  <c r="L14" i="6"/>
  <c r="L13" i="6"/>
  <c r="L12" i="6"/>
  <c r="K12" i="6"/>
  <c r="E12" i="6"/>
  <c r="L11" i="6"/>
  <c r="K11" i="6"/>
  <c r="E11" i="6"/>
  <c r="L10" i="6"/>
  <c r="L9" i="6"/>
  <c r="L8" i="6"/>
  <c r="K8" i="6"/>
  <c r="E8" i="6"/>
  <c r="L7" i="6"/>
  <c r="K7" i="6"/>
  <c r="E7" i="6"/>
  <c r="L6" i="6"/>
  <c r="K6" i="6"/>
  <c r="E6" i="6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C18" i="1"/>
  <c r="C17" i="1"/>
  <c r="C16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</calcChain>
</file>

<file path=xl/sharedStrings.xml><?xml version="1.0" encoding="utf-8"?>
<sst xmlns="http://schemas.openxmlformats.org/spreadsheetml/2006/main" count="669" uniqueCount="377">
  <si>
    <t>SESSION 16.1: DATA CLEANING TOOLS &amp; ERROR HANDLING MASTER SUITE</t>
  </si>
  <si>
    <t>Core Tools: Remove Duplicates | Text to Columns | Flash Fill | Wildcard Replace | Error-Checking Ribbon</t>
  </si>
  <si>
    <t>🧹 DATA DEDUPLICATION</t>
  </si>
  <si>
    <t>✂️ TEXT SPLITTING</t>
  </si>
  <si>
    <t>⚡ PATTERN EXTRACTION</t>
  </si>
  <si>
    <t>🔍 WILDCARD REPLACE</t>
  </si>
  <si>
    <t>Remove Duplicates</t>
  </si>
  <si>
    <t>Text to Columns</t>
  </si>
  <si>
    <t>Flash Fill (Ctrl+E)</t>
  </si>
  <si>
    <t>Find &amp; Replace (*, ?)</t>
  </si>
  <si>
    <t>📌 TRAINER DEMO 1: Split Full Name into First Name &amp; Last Name (via Formula / Flash Fill)</t>
  </si>
  <si>
    <t>Customer ID</t>
  </si>
  <si>
    <t>Full Name (Raw)</t>
  </si>
  <si>
    <t>First Name</t>
  </si>
  <si>
    <t>Last Name</t>
  </si>
  <si>
    <t>Formula Used (First)</t>
  </si>
  <si>
    <t>Formula Used (Last)</t>
  </si>
  <si>
    <t>CUST-01</t>
  </si>
  <si>
    <t>Rahul Patel</t>
  </si>
  <si>
    <t>CUST-02</t>
  </si>
  <si>
    <t>Priya Sharma</t>
  </si>
  <si>
    <t>CUST-03</t>
  </si>
  <si>
    <t>Aarav Mehta</t>
  </si>
  <si>
    <t>CUST-04</t>
  </si>
  <si>
    <t>Ananya Desai</t>
  </si>
  <si>
    <t>📌 TRAINER DEMO 2: Fix Irregular Address Formats (Removing Extra Spaces &amp; Proper Casing)</t>
  </si>
  <si>
    <t>Irregular Raw Address</t>
  </si>
  <si>
    <t>Cleaned Address</t>
  </si>
  <si>
    <t>Functions Applied</t>
  </si>
  <si>
    <t xml:space="preserve">   FLAT 402,   shivaY tower ,  ahmedabad   </t>
  </si>
  <si>
    <t>b-12,     green acres,    surat</t>
  </si>
  <si>
    <t xml:space="preserve">  plot  88  ,   alkapuri ,   vadodara   </t>
  </si>
  <si>
    <t>TASK 1: DATA DEDUPLICATION (REMOVE DUPLICATES TOOL IN EXCEL)</t>
  </si>
  <si>
    <t>Dataset of 30 Online Food Orders with 5 Injected Duplicate Records &amp; Post-Cleaned Unique Output</t>
  </si>
  <si>
    <t>📦 TOTAL ORDERS (RAW)</t>
  </si>
  <si>
    <t>⚠️ DUPLICATES DETECTED</t>
  </si>
  <si>
    <t>✅ CLEANED UNIQUE ORDERS</t>
  </si>
  <si>
    <t>30 Records</t>
  </si>
  <si>
    <t>5 Duplicates (Yellow)</t>
  </si>
  <si>
    <t>25 Unique Records</t>
  </si>
  <si>
    <t>TABLE A: Raw Dataset (30 Orders with Duplicates Highlighted)</t>
  </si>
  <si>
    <t>TABLE B: Cleaned Dataset (25 Unique Orders after Remove Duplicates)</t>
  </si>
  <si>
    <t>Order ID</t>
  </si>
  <si>
    <t>Customer Name</t>
  </si>
  <si>
    <t>Phone Number</t>
  </si>
  <si>
    <t>Delivery Address</t>
  </si>
  <si>
    <t>Amount (₹)</t>
  </si>
  <si>
    <t>ORD-2001</t>
  </si>
  <si>
    <t>9876543210</t>
  </si>
  <si>
    <t>Flat 402, Shivay Tower, Ahmedabad</t>
  </si>
  <si>
    <t>ORD-2002</t>
  </si>
  <si>
    <t>9825012345</t>
  </si>
  <si>
    <t>B-12, Sunrise Apartments, Surat</t>
  </si>
  <si>
    <t>ORD-2003</t>
  </si>
  <si>
    <t>9909988776</t>
  </si>
  <si>
    <t>A-304, Royal Palms, Vadodara</t>
  </si>
  <si>
    <t>ORD-2004</t>
  </si>
  <si>
    <t>9898123456</t>
  </si>
  <si>
    <t>Flat 12B, Green City, Rajkot</t>
  </si>
  <si>
    <t>ORD-2005</t>
  </si>
  <si>
    <t>Hardik Pandya</t>
  </si>
  <si>
    <t>9824056789</t>
  </si>
  <si>
    <t>Plot 45, Sterling City, Ahmedabad</t>
  </si>
  <si>
    <t>ORD-2006</t>
  </si>
  <si>
    <t>Sneha Joshi</t>
  </si>
  <si>
    <t>9712345678</t>
  </si>
  <si>
    <t>C-101, Nilkanth Residency, Surat</t>
  </si>
  <si>
    <t>ORD-2007</t>
  </si>
  <si>
    <t>Rohan Verma</t>
  </si>
  <si>
    <t>9879012345</t>
  </si>
  <si>
    <t>B-404, Harmony Heights, Vadodara</t>
  </si>
  <si>
    <t>ORD-2008</t>
  </si>
  <si>
    <t>Kavita Dave</t>
  </si>
  <si>
    <t>9925123456</t>
  </si>
  <si>
    <t>Flat 5A, Safal Parivesh, Ahmedabad</t>
  </si>
  <si>
    <t>ORD-2009</t>
  </si>
  <si>
    <t>Manish Shah</t>
  </si>
  <si>
    <t>9825478901</t>
  </si>
  <si>
    <t>A-202, Gokul Dham, Rajkot</t>
  </si>
  <si>
    <t>ORD-2010</t>
  </si>
  <si>
    <t>Pooja Bhatt</t>
  </si>
  <si>
    <t>9723456789</t>
  </si>
  <si>
    <t>D-12, Silver Radiance, Surat</t>
  </si>
  <si>
    <t>ORD-2011</t>
  </si>
  <si>
    <t>Vikas Patel</t>
  </si>
  <si>
    <t>9898654321</t>
  </si>
  <si>
    <t>Flat 303, Venus Atlantis, Ahmedabad</t>
  </si>
  <si>
    <t>ORD-2012</t>
  </si>
  <si>
    <t>Neha Solanki</t>
  </si>
  <si>
    <t>9904567890</t>
  </si>
  <si>
    <t>B-22, Shyamal Greens, Vadodara</t>
  </si>
  <si>
    <t>ORD-2013</t>
  </si>
  <si>
    <t>Karan Parmar</t>
  </si>
  <si>
    <t>9876123456</t>
  </si>
  <si>
    <t>Plot 18, Radhe Krishna, Surat</t>
  </si>
  <si>
    <t>ORD-2014</t>
  </si>
  <si>
    <t>Divya Vyas</t>
  </si>
  <si>
    <t>9825112233</t>
  </si>
  <si>
    <t>C-501, Orchid Whitefield, Ahmedabad</t>
  </si>
  <si>
    <t>ORD-2015</t>
  </si>
  <si>
    <t>Jaydeep Jadeja</t>
  </si>
  <si>
    <t>9714567890</t>
  </si>
  <si>
    <t>Flat 104, Iscon Heights, Rajkot</t>
  </si>
  <si>
    <t>ORD-2016</t>
  </si>
  <si>
    <t>Bhavna Trivedi</t>
  </si>
  <si>
    <t>9898001122</t>
  </si>
  <si>
    <t>A-15, Maruti Park, Surat</t>
  </si>
  <si>
    <t>ORD-2017</t>
  </si>
  <si>
    <t>Amit Chauhan</t>
  </si>
  <si>
    <t>9924567890</t>
  </si>
  <si>
    <t>Flat 602, Godrej Garden City, Ahmedabad</t>
  </si>
  <si>
    <t>ORD-2018</t>
  </si>
  <si>
    <t>Shreya Merchant</t>
  </si>
  <si>
    <t>9825998877</t>
  </si>
  <si>
    <t>B-301, Casa Bella, Vadodara</t>
  </si>
  <si>
    <t>ORD-2019</t>
  </si>
  <si>
    <t>Nilesh Rathod</t>
  </si>
  <si>
    <t>9725123456</t>
  </si>
  <si>
    <t>Plot 72, Silver Oak, Surat</t>
  </si>
  <si>
    <t>ORD-2020</t>
  </si>
  <si>
    <t>Tanvi Mehta</t>
  </si>
  <si>
    <t>9879554433</t>
  </si>
  <si>
    <t>Flat 201, Titanium City, Ahmedabad</t>
  </si>
  <si>
    <t>ORD-2021</t>
  </si>
  <si>
    <t>Chirag Soni</t>
  </si>
  <si>
    <t>9909112233</t>
  </si>
  <si>
    <t>A-44, Platinum Enclave, Rajkot</t>
  </si>
  <si>
    <t>ORD-2022</t>
  </si>
  <si>
    <t>Ritu Kapadia</t>
  </si>
  <si>
    <t>9824123456</t>
  </si>
  <si>
    <t>C-302, Applewoods, Ahmedabad</t>
  </si>
  <si>
    <t>ORD-2023</t>
  </si>
  <si>
    <t>Gaurav Jain</t>
  </si>
  <si>
    <t>9712009988</t>
  </si>
  <si>
    <t>Flat 11B, Surya Kiran, Surat</t>
  </si>
  <si>
    <t>ORD-2024</t>
  </si>
  <si>
    <t>Megha Parekh</t>
  </si>
  <si>
    <t>9898334455</t>
  </si>
  <si>
    <t>B-108, Samet Shikhar, Vadodara</t>
  </si>
  <si>
    <t>ORD-2025</t>
  </si>
  <si>
    <t>Kunal Goswami</t>
  </si>
  <si>
    <t>9925001122</t>
  </si>
  <si>
    <t>Plot 9, Dev Castle, Ahmedabad</t>
  </si>
  <si>
    <t>📌 HOW TO REMOVE DUPLICATES IN EXCEL (Ribbon Tool):</t>
  </si>
  <si>
    <t>1. Select any cell inside Table A (or press Ctrl + A to select entire range A8:E38).</t>
  </si>
  <si>
    <t>2. Navigate to Excel Ribbon -&gt; Data Tab -&gt; Data Tools group -&gt; Click 'Remove Duplicates' (Shortcut: Alt + A + M).</t>
  </si>
  <si>
    <t>3. Ensure 'My data has headers' is checked, and select all columns (Order ID, Customer Name, etc.).</t>
  </si>
  <si>
    <t>4. Click OK. Excel displays alert: '5 duplicate values found and removed; 25 unique values remain.'</t>
  </si>
  <si>
    <t>TASK 2: TEXT TO COLUMNS (SPLITTING ZOMATO-STYLE DELIVERY ADDRESSES)</t>
  </si>
  <si>
    <t>Split Full Delivery Address into Flat/House No., Building Name, Street/Area, and City using Comma Delimiter</t>
  </si>
  <si>
    <t>Delimited Data Transformation: Comma (,) Separator</t>
  </si>
  <si>
    <t>Original Address (Full String)</t>
  </si>
  <si>
    <t>Col 1: Flat / House No.</t>
  </si>
  <si>
    <t>Col 2: Building / Society</t>
  </si>
  <si>
    <t>Col 3: Street / Landmark</t>
  </si>
  <si>
    <t>Col 4: City</t>
  </si>
  <si>
    <t>Excel Formula Equivalent</t>
  </si>
  <si>
    <t>Flat 12B, Sunrise Apartments, SG Highway, Ahmedabad</t>
  </si>
  <si>
    <t>Flat 12B</t>
  </si>
  <si>
    <t>Sunrise Apartments</t>
  </si>
  <si>
    <t>SG Highway</t>
  </si>
  <si>
    <t>Ahmedabad</t>
  </si>
  <si>
    <t>B-104, Royal Palace, Ring Road, Surat</t>
  </si>
  <si>
    <t>B-104</t>
  </si>
  <si>
    <t>Royal Palace</t>
  </si>
  <si>
    <t>Ring Road</t>
  </si>
  <si>
    <t>Surat</t>
  </si>
  <si>
    <t>House 55, Nilkanth Society, Alkapuri, Vadodara</t>
  </si>
  <si>
    <t>House 55</t>
  </si>
  <si>
    <t>Nilkanth Society</t>
  </si>
  <si>
    <t>Alkapuri</t>
  </si>
  <si>
    <t>Vadodara</t>
  </si>
  <si>
    <t>Flat 402, Shivay Tower, Sindhu Bhavan Road, Ahmedabad</t>
  </si>
  <si>
    <t>Flat 402</t>
  </si>
  <si>
    <t>Shivay Tower</t>
  </si>
  <si>
    <t>Sindhu Bhavan Road</t>
  </si>
  <si>
    <t>Plot 18, Radhe Greens, University Road, Rajkot</t>
  </si>
  <si>
    <t>Plot 18</t>
  </si>
  <si>
    <t>Radhe Greens</t>
  </si>
  <si>
    <t>University Road</t>
  </si>
  <si>
    <t>Rajkot</t>
  </si>
  <si>
    <t>Flat 3A, Silver Palm, Ghod Dod Road, Surat</t>
  </si>
  <si>
    <t>Flat 3A</t>
  </si>
  <si>
    <t>Silver Palm</t>
  </si>
  <si>
    <t>Ghod Dod Road</t>
  </si>
  <si>
    <t>C-501, Harmony Heights, Gotri Road, Vadodara</t>
  </si>
  <si>
    <t>C-501</t>
  </si>
  <si>
    <t>Harmony Heights</t>
  </si>
  <si>
    <t>Gotri Road</t>
  </si>
  <si>
    <t>Flat 804, Godrej Garden City, SG Highway, Ahmedabad</t>
  </si>
  <si>
    <t>Flat 804</t>
  </si>
  <si>
    <t>Godrej Garden City</t>
  </si>
  <si>
    <t>A-22, Shyamal Row Houses, Satellite, Ahmedabad</t>
  </si>
  <si>
    <t>A-22</t>
  </si>
  <si>
    <t>Shyamal Row Houses</t>
  </si>
  <si>
    <t>Satellite</t>
  </si>
  <si>
    <t>Plot 72, Applewood Township, Shela, Ahmedabad</t>
  </si>
  <si>
    <t>Plot 72</t>
  </si>
  <si>
    <t>Applewood Township</t>
  </si>
  <si>
    <t>Shela</t>
  </si>
  <si>
    <t>Flat 101, Maruti Enclave, Adajan, Surat</t>
  </si>
  <si>
    <t>Flat 101</t>
  </si>
  <si>
    <t>Maruti Enclave</t>
  </si>
  <si>
    <t>Adajan</t>
  </si>
  <si>
    <t>B-12, Surya Kiran, Race Course, Vadodara</t>
  </si>
  <si>
    <t>B-12</t>
  </si>
  <si>
    <t>Surya Kiran</t>
  </si>
  <si>
    <t>Race Course</t>
  </si>
  <si>
    <t>Flat 204, Titanium City Centre, Prahlad Nagar, Ahmedabad</t>
  </si>
  <si>
    <t>Flat 204</t>
  </si>
  <si>
    <t>Titanium City Centre</t>
  </si>
  <si>
    <t>Prahlad Nagar</t>
  </si>
  <si>
    <t>House 9, Krishna Kunj, Kalawad Road, Rajkot</t>
  </si>
  <si>
    <t>House 9</t>
  </si>
  <si>
    <t>Krishna Kunj</t>
  </si>
  <si>
    <t>Kalawad Road</t>
  </si>
  <si>
    <t>Flat 602, Venus Atlantis, Anandnagar Road, Ahmedabad</t>
  </si>
  <si>
    <t>Flat 602</t>
  </si>
  <si>
    <t>Venus Atlantis</t>
  </si>
  <si>
    <t>Anandnagar Road</t>
  </si>
  <si>
    <t>TASK 3: FLASH FILL (USERNAME EXTRACTION FROM EMAIL ADDRESSES)</t>
  </si>
  <si>
    <t>Instant Pattern Learning: Extract Username before '@'</t>
  </si>
  <si>
    <t>Full Email Address</t>
  </si>
  <si>
    <t>Flash Fill: Username</t>
  </si>
  <si>
    <t>Extracted Domain</t>
  </si>
  <si>
    <t>Formula Alternative</t>
  </si>
  <si>
    <t>Shortcut Status</t>
  </si>
  <si>
    <t>CUST-101</t>
  </si>
  <si>
    <t>rahul.patel99@gmail.com</t>
  </si>
  <si>
    <t>rahul.patel99</t>
  </si>
  <si>
    <t>gmail.com</t>
  </si>
  <si>
    <t>✓ Auto-filled (Ctrl+E)</t>
  </si>
  <si>
    <t>CUST-102</t>
  </si>
  <si>
    <t>priya.sharma21@yahoo.com</t>
  </si>
  <si>
    <t>priya.sharma21</t>
  </si>
  <si>
    <t>yahoo.com</t>
  </si>
  <si>
    <t>CUST-103</t>
  </si>
  <si>
    <t>aarav.mehta@outlook.com</t>
  </si>
  <si>
    <t>aarav.mehta</t>
  </si>
  <si>
    <t>outlook.com</t>
  </si>
  <si>
    <t>CUST-104</t>
  </si>
  <si>
    <t>ananya.desai@company.org</t>
  </si>
  <si>
    <t>ananya.desai</t>
  </si>
  <si>
    <t>company.org</t>
  </si>
  <si>
    <t>CUST-105</t>
  </si>
  <si>
    <t>hardik.hp33@gmail.com</t>
  </si>
  <si>
    <t>hardik.hp33</t>
  </si>
  <si>
    <t>CUST-106</t>
  </si>
  <si>
    <t>sneha.joshi@rediffmail.com</t>
  </si>
  <si>
    <t>sneha.joshi</t>
  </si>
  <si>
    <t>rediffmail.com</t>
  </si>
  <si>
    <t>CUST-107</t>
  </si>
  <si>
    <t>rohan_verma88@hotmail.com</t>
  </si>
  <si>
    <t>rohan_verma88</t>
  </si>
  <si>
    <t>hotmail.com</t>
  </si>
  <si>
    <t>CUST-108</t>
  </si>
  <si>
    <t>kavita.dave@gmail.com</t>
  </si>
  <si>
    <t>kavita.dave</t>
  </si>
  <si>
    <t>CUST-109</t>
  </si>
  <si>
    <t>manish.shah77@icloud.com</t>
  </si>
  <si>
    <t>manish.shah77</t>
  </si>
  <si>
    <t>icloud.com</t>
  </si>
  <si>
    <t>CUST-110</t>
  </si>
  <si>
    <t>pooja.bhatt@zomato.in</t>
  </si>
  <si>
    <t>pooja.bhatt</t>
  </si>
  <si>
    <t>zomato.in</t>
  </si>
  <si>
    <t>CUST-111</t>
  </si>
  <si>
    <t>vikas.patel1990@gmail.com</t>
  </si>
  <si>
    <t>vikas.patel1990</t>
  </si>
  <si>
    <t>CUST-112</t>
  </si>
  <si>
    <t>neha.solanki@swiggy.in</t>
  </si>
  <si>
    <t>neha.solanki</t>
  </si>
  <si>
    <t>swiggy.in</t>
  </si>
  <si>
    <t>CUST-113</t>
  </si>
  <si>
    <t>karan.parmar@yahoo.co.in</t>
  </si>
  <si>
    <t>karan.parmar</t>
  </si>
  <si>
    <t>yahoo.co.in</t>
  </si>
  <si>
    <t>CUST-114</t>
  </si>
  <si>
    <t>divya.vyas07@gmail.com</t>
  </si>
  <si>
    <t>divya.vyas07</t>
  </si>
  <si>
    <t>CUST-115</t>
  </si>
  <si>
    <t>jaydeep.jadeja@outlook.in</t>
  </si>
  <si>
    <t>jaydeep.jadeja</t>
  </si>
  <si>
    <t>outlook.in</t>
  </si>
  <si>
    <t>CUST-116</t>
  </si>
  <si>
    <t>bhavna.trivedi@protonmail.com</t>
  </si>
  <si>
    <t>bhavna.trivedi</t>
  </si>
  <si>
    <t>protonmail.com</t>
  </si>
  <si>
    <t>CUST-117</t>
  </si>
  <si>
    <t>amit.chauhan45@gmail.com</t>
  </si>
  <si>
    <t>amit.chauhan45</t>
  </si>
  <si>
    <t>CUST-118</t>
  </si>
  <si>
    <t>shreya.merchant@zoho.com</t>
  </si>
  <si>
    <t>shreya.merchant</t>
  </si>
  <si>
    <t>zoho.com</t>
  </si>
  <si>
    <t>CUST-119</t>
  </si>
  <si>
    <t>nilesh.rathod@gmail.com</t>
  </si>
  <si>
    <t>nilesh.rathod</t>
  </si>
  <si>
    <t>CUST-120</t>
  </si>
  <si>
    <t>tanvi.mehta2024@gmail.com</t>
  </si>
  <si>
    <t>tanvi.mehta2024</t>
  </si>
  <si>
    <t>TASK 4: FIND &amp; REPLACE WITH WILDCARDS (*, ?) IN CONTACT LIST</t>
  </si>
  <si>
    <t>Wildcard Pattern: Find '98????????' -&gt; Replace with '99' prefix</t>
  </si>
  <si>
    <t>Contact ID</t>
  </si>
  <si>
    <t>Contact Name</t>
  </si>
  <si>
    <t>Original Phone Number</t>
  </si>
  <si>
    <t>Updated Phone (98 -&gt; 99)</t>
  </si>
  <si>
    <t>Match Type</t>
  </si>
  <si>
    <t>Excel Formula Alternative</t>
  </si>
  <si>
    <t>CON-01</t>
  </si>
  <si>
    <t>9976543210</t>
  </si>
  <si>
    <t>Matched 98*</t>
  </si>
  <si>
    <t>CON-02</t>
  </si>
  <si>
    <t>9925012345</t>
  </si>
  <si>
    <t>CON-03</t>
  </si>
  <si>
    <t>No Change (97)</t>
  </si>
  <si>
    <t>CON-04</t>
  </si>
  <si>
    <t>9998123456</t>
  </si>
  <si>
    <t>CON-05</t>
  </si>
  <si>
    <t>No Change (99)</t>
  </si>
  <si>
    <t>CON-06</t>
  </si>
  <si>
    <t>9924056789</t>
  </si>
  <si>
    <t>CON-07</t>
  </si>
  <si>
    <t>9654123456</t>
  </si>
  <si>
    <t>No Change (96)</t>
  </si>
  <si>
    <t>CON-08</t>
  </si>
  <si>
    <t>9979012345</t>
  </si>
  <si>
    <t>CON-09</t>
  </si>
  <si>
    <t>9925478901</t>
  </si>
  <si>
    <t>CON-10</t>
  </si>
  <si>
    <t>CON-11</t>
  </si>
  <si>
    <t>9998654321</t>
  </si>
  <si>
    <t>CON-12</t>
  </si>
  <si>
    <t>CON-13</t>
  </si>
  <si>
    <t>9976123456</t>
  </si>
  <si>
    <t>CON-14</t>
  </si>
  <si>
    <t>9925112233</t>
  </si>
  <si>
    <t>CON-15</t>
  </si>
  <si>
    <t>9612345678</t>
  </si>
  <si>
    <t>CON-16</t>
  </si>
  <si>
    <t>9998001122</t>
  </si>
  <si>
    <t>CON-17</t>
  </si>
  <si>
    <t>CON-18</t>
  </si>
  <si>
    <t>9925998877</t>
  </si>
  <si>
    <t>CON-19</t>
  </si>
  <si>
    <t>CON-20</t>
  </si>
  <si>
    <t>9979554433</t>
  </si>
  <si>
    <t>TASK 5: ERROR CHECKING RIBBON TOOLS &amp; FORMULA AUDITING (#DIV/0! &amp; #VALUE!)</t>
  </si>
  <si>
    <t>TABLE 1: Raw IPL Stats with Exposed Errors (Audited via Error Checking Ribbon)</t>
  </si>
  <si>
    <t>TABLE 2: Corrected &amp; Cleaned Stats (Using IFERROR &amp; Robust Logic)</t>
  </si>
  <si>
    <t>Player Name</t>
  </si>
  <si>
    <t>Innings</t>
  </si>
  <si>
    <t>Runs</t>
  </si>
  <si>
    <t>Outs</t>
  </si>
  <si>
    <t>Batting Avg (=Runs/Outs)</t>
  </si>
  <si>
    <t>Error Type</t>
  </si>
  <si>
    <t>Cleaned Batting Avg</t>
  </si>
  <si>
    <t>Handling Formula Used</t>
  </si>
  <si>
    <t>Virat Kohli</t>
  </si>
  <si>
    <t>None (Valid)</t>
  </si>
  <si>
    <t>Ruturaj Gaikwad</t>
  </si>
  <si>
    <t>Shubman Gill</t>
  </si>
  <si>
    <t>Jasprit Bumrah</t>
  </si>
  <si>
    <t>#DIV/0! (Division by Zero)</t>
  </si>
  <si>
    <t>Not Out (No Dismissals)</t>
  </si>
  <si>
    <t>Mohammed Shami</t>
  </si>
  <si>
    <t>KL Rahul</t>
  </si>
  <si>
    <t>Rashid Khan</t>
  </si>
  <si>
    <t>Yuzvendra Chahal</t>
  </si>
  <si>
    <t>DNB</t>
  </si>
  <si>
    <t>#VALUE! (Text in Math Op)</t>
  </si>
  <si>
    <t>DNB (0)</t>
  </si>
  <si>
    <t>Mohit Sharma</t>
  </si>
  <si>
    <t>None</t>
  </si>
  <si>
    <t>#VALUE! (Text &amp; Div/0)</t>
  </si>
  <si>
    <t>Did Not Bat</t>
  </si>
  <si>
    <t>Rishabh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</si>
</sst>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FFFFFF"/>
      <name val="Calibri"/>
      <family val="2"/>
    </font>
    <font>
      <b/>
      <sz val="9"/>
      <color rgb="FF595959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rgb="FF1F4E78"/>
      <name val="Consolas"/>
      <family val="3"/>
    </font>
    <font>
      <i/>
      <sz val="10"/>
      <color rgb="FF595959"/>
      <name val="Calibri"/>
      <family val="2"/>
    </font>
    <font>
      <b/>
      <sz val="14"/>
      <color rgb="FF1F4E78"/>
      <name val="Calibri"/>
      <family val="2"/>
    </font>
    <font>
      <b/>
      <sz val="14"/>
      <color rgb="FFC00000"/>
      <name val="Calibri"/>
      <family val="2"/>
    </font>
    <font>
      <b/>
      <sz val="14"/>
      <color rgb="FF375623"/>
      <name val="Calibri"/>
      <family val="2"/>
    </font>
    <font>
      <i/>
      <sz val="10"/>
      <color rgb="FF375623"/>
      <name val="Calibri"/>
      <family val="2"/>
    </font>
    <font>
      <sz val="10"/>
      <color rgb="FF375623"/>
      <name val="Calibri"/>
      <family val="2"/>
    </font>
    <font>
      <b/>
      <sz val="11"/>
      <color rgb="FFC00000"/>
      <name val="Calibri"/>
      <family val="2"/>
    </font>
    <font>
      <b/>
      <sz val="10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5" fillId="3" borderId="1" xfId="0" applyFont="1" applyFill="1" applyBorder="1" applyAlignment="1">
      <alignment horizontal="center"/>
    </xf>
    <xf numFmtId="0" fontId="6" fillId="5" borderId="1" xfId="0" applyFont="1" applyFill="1" applyBorder="1"/>
    <xf numFmtId="0" fontId="7" fillId="6" borderId="1" xfId="0" applyFont="1" applyFill="1" applyBorder="1"/>
    <xf numFmtId="0" fontId="9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/>
    <xf numFmtId="164" fontId="7" fillId="7" borderId="1" xfId="0" applyNumberFormat="1" applyFont="1" applyFill="1" applyBorder="1" applyAlignment="1">
      <alignment horizontal="right"/>
    </xf>
    <xf numFmtId="0" fontId="7" fillId="0" borderId="0" xfId="0" applyFont="1"/>
    <xf numFmtId="0" fontId="9" fillId="0" borderId="0" xfId="0" applyFont="1"/>
    <xf numFmtId="0" fontId="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D18" sqref="D18"/>
    </sheetView>
  </sheetViews>
  <sheetFormatPr defaultRowHeight="14.5" x14ac:dyDescent="0.35"/>
  <cols>
    <col min="1" max="1" width="106" customWidth="1"/>
    <col min="2" max="2" width="46" customWidth="1"/>
    <col min="3" max="3" width="24" customWidth="1"/>
    <col min="4" max="4" width="77" customWidth="1"/>
    <col min="5" max="5" width="24" customWidth="1"/>
    <col min="6" max="6" width="23" customWidth="1"/>
    <col min="7" max="8" width="14" customWidth="1"/>
    <col min="9" max="9" width="24" customWidth="1"/>
    <col min="10" max="10" width="14" customWidth="1"/>
  </cols>
  <sheetData>
    <row r="1" spans="1:10" ht="34" customHeight="1" x14ac:dyDescent="0.35">
      <c r="A1" s="28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20" customHeight="1" x14ac:dyDescent="0.35">
      <c r="A2" s="30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4" spans="1:10" ht="20" customHeight="1" x14ac:dyDescent="0.35">
      <c r="A4" s="26" t="s">
        <v>2</v>
      </c>
      <c r="B4" s="27"/>
      <c r="C4" s="26" t="s">
        <v>3</v>
      </c>
      <c r="D4" s="27"/>
      <c r="F4" s="26" t="s">
        <v>4</v>
      </c>
      <c r="G4" s="27"/>
      <c r="I4" s="26" t="s">
        <v>5</v>
      </c>
      <c r="J4" s="27"/>
    </row>
    <row r="5" spans="1:10" ht="26" customHeight="1" x14ac:dyDescent="0.35">
      <c r="A5" s="29" t="s">
        <v>6</v>
      </c>
      <c r="B5" s="27"/>
      <c r="C5" s="29" t="s">
        <v>7</v>
      </c>
      <c r="D5" s="27"/>
      <c r="F5" s="29" t="s">
        <v>8</v>
      </c>
      <c r="G5" s="27"/>
      <c r="I5" s="29" t="s">
        <v>9</v>
      </c>
      <c r="J5" s="27"/>
    </row>
    <row r="7" spans="1:10" ht="17" x14ac:dyDescent="0.4">
      <c r="A7" s="1" t="s">
        <v>10</v>
      </c>
    </row>
    <row r="8" spans="1:10" x14ac:dyDescent="0.35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</row>
    <row r="9" spans="1:10" x14ac:dyDescent="0.35">
      <c r="A9" s="3" t="s">
        <v>17</v>
      </c>
      <c r="B9" s="4" t="s">
        <v>18</v>
      </c>
      <c r="C9" s="3" t="e">
        <f ca="1">TEXTBEFORE(B9, " ")</f>
        <v>#NAME?</v>
      </c>
      <c r="D9" s="3" t="e">
        <f ca="1">TEXTAFTER(B9, " ")</f>
        <v>#NAME?</v>
      </c>
      <c r="E9" s="5" t="e">
        <f ca="1">TEXTBEFORE(B9, " ")</f>
        <v>#NAME?</v>
      </c>
      <c r="F9" s="5" t="e">
        <f ca="1">TEXTAFTER(B9, " ")</f>
        <v>#NAME?</v>
      </c>
    </row>
    <row r="10" spans="1:10" x14ac:dyDescent="0.35">
      <c r="A10" s="3" t="s">
        <v>19</v>
      </c>
      <c r="B10" s="4" t="s">
        <v>20</v>
      </c>
      <c r="C10" s="3" t="e">
        <f ca="1">TEXTBEFORE(B10, " ")</f>
        <v>#NAME?</v>
      </c>
      <c r="D10" s="3" t="e">
        <f ca="1">TEXTAFTER(B10, " ")</f>
        <v>#NAME?</v>
      </c>
      <c r="E10" s="5" t="e">
        <f ca="1">TEXTBEFORE(B10, " ")</f>
        <v>#NAME?</v>
      </c>
      <c r="F10" s="5" t="e">
        <f ca="1">TEXTAFTER(B10, " ")</f>
        <v>#NAME?</v>
      </c>
    </row>
    <row r="11" spans="1:10" x14ac:dyDescent="0.35">
      <c r="A11" s="3" t="s">
        <v>21</v>
      </c>
      <c r="B11" s="4" t="s">
        <v>22</v>
      </c>
      <c r="C11" s="3" t="e">
        <f ca="1">TEXTBEFORE(B11, " ")</f>
        <v>#NAME?</v>
      </c>
      <c r="D11" s="3" t="e">
        <f ca="1">TEXTAFTER(B11, " ")</f>
        <v>#NAME?</v>
      </c>
      <c r="E11" s="5" t="e">
        <f ca="1">TEXTBEFORE(B11, " ")</f>
        <v>#NAME?</v>
      </c>
      <c r="F11" s="5" t="e">
        <f ca="1">TEXTAFTER(B11, " ")</f>
        <v>#NAME?</v>
      </c>
    </row>
    <row r="12" spans="1:10" x14ac:dyDescent="0.35">
      <c r="A12" s="3" t="s">
        <v>23</v>
      </c>
      <c r="B12" s="4" t="s">
        <v>24</v>
      </c>
      <c r="C12" s="3" t="e">
        <f ca="1">TEXTBEFORE(B12, " ")</f>
        <v>#NAME?</v>
      </c>
      <c r="D12" s="3" t="e">
        <f ca="1">TEXTAFTER(B12, " ")</f>
        <v>#NAME?</v>
      </c>
      <c r="E12" s="5" t="e">
        <f ca="1">TEXTBEFORE(B12, " ")</f>
        <v>#NAME?</v>
      </c>
      <c r="F12" s="5" t="e">
        <f ca="1">TEXTAFTER(B12, " ")</f>
        <v>#NAME?</v>
      </c>
    </row>
    <row r="14" spans="1:10" ht="17" x14ac:dyDescent="0.4">
      <c r="A14" s="1" t="s">
        <v>25</v>
      </c>
    </row>
    <row r="15" spans="1:10" x14ac:dyDescent="0.35">
      <c r="A15" s="6" t="s">
        <v>11</v>
      </c>
      <c r="B15" s="6" t="s">
        <v>26</v>
      </c>
      <c r="C15" s="6" t="s">
        <v>27</v>
      </c>
      <c r="D15" s="6" t="s">
        <v>28</v>
      </c>
    </row>
    <row r="16" spans="1:10" x14ac:dyDescent="0.35">
      <c r="A16" s="3" t="s">
        <v>17</v>
      </c>
      <c r="B16" s="7" t="s">
        <v>29</v>
      </c>
      <c r="C16" s="8" t="str">
        <f>PROPER(TRIM(B16))</f>
        <v>Flat 402, Shivay Tower , Ahmedabad</v>
      </c>
      <c r="D16" s="9"/>
    </row>
    <row r="17" spans="1:4" x14ac:dyDescent="0.35">
      <c r="A17" s="3" t="s">
        <v>19</v>
      </c>
      <c r="B17" s="7" t="s">
        <v>30</v>
      </c>
      <c r="C17" s="8" t="str">
        <f>PROPER(TRIM(B17))</f>
        <v>B-12, Green Acres, Surat</v>
      </c>
      <c r="D17" s="9"/>
    </row>
    <row r="18" spans="1:4" x14ac:dyDescent="0.35">
      <c r="A18" s="3" t="s">
        <v>21</v>
      </c>
      <c r="B18" s="7" t="s">
        <v>31</v>
      </c>
      <c r="C18" s="8" t="str">
        <f>PROPER(TRIM(B18))</f>
        <v>Plot 88 , Alkapuri , Vadodara</v>
      </c>
      <c r="D18" s="9"/>
    </row>
  </sheetData>
  <mergeCells count="10">
    <mergeCell ref="A4:B4"/>
    <mergeCell ref="F4:G4"/>
    <mergeCell ref="A1:J1"/>
    <mergeCell ref="I4:J4"/>
    <mergeCell ref="F5:G5"/>
    <mergeCell ref="C5:D5"/>
    <mergeCell ref="A5:B5"/>
    <mergeCell ref="I5:J5"/>
    <mergeCell ref="A2:J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topLeftCell="H1" workbookViewId="0">
      <selection sqref="A1:K1"/>
    </sheetView>
  </sheetViews>
  <sheetFormatPr defaultRowHeight="14.5" x14ac:dyDescent="0.35"/>
  <cols>
    <col min="1" max="1" width="98" customWidth="1"/>
    <col min="2" max="2" width="18" customWidth="1"/>
    <col min="3" max="3" width="15" customWidth="1"/>
    <col min="4" max="4" width="42" customWidth="1"/>
    <col min="5" max="6" width="14" customWidth="1"/>
    <col min="7" max="7" width="116" customWidth="1"/>
    <col min="8" max="8" width="18" customWidth="1"/>
    <col min="9" max="9" width="15" customWidth="1"/>
    <col min="10" max="10" width="42" customWidth="1"/>
    <col min="11" max="11" width="14" customWidth="1"/>
  </cols>
  <sheetData>
    <row r="1" spans="1:11" ht="34" customHeight="1" x14ac:dyDescent="0.35">
      <c r="A1" s="28" t="s">
        <v>32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20" customHeight="1" x14ac:dyDescent="0.35">
      <c r="A2" s="30" t="s">
        <v>33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35">
      <c r="A4" s="31" t="s">
        <v>34</v>
      </c>
      <c r="B4" s="27"/>
      <c r="D4" s="36" t="s">
        <v>35</v>
      </c>
      <c r="E4" s="27"/>
      <c r="G4" s="32" t="s">
        <v>36</v>
      </c>
      <c r="H4" s="27"/>
    </row>
    <row r="5" spans="1:11" ht="24" customHeight="1" x14ac:dyDescent="0.45">
      <c r="A5" s="34" t="s">
        <v>37</v>
      </c>
      <c r="B5" s="27"/>
      <c r="D5" s="33" t="s">
        <v>38</v>
      </c>
      <c r="E5" s="27"/>
      <c r="G5" s="35" t="s">
        <v>39</v>
      </c>
      <c r="H5" s="27"/>
    </row>
    <row r="7" spans="1:11" ht="17" x14ac:dyDescent="0.4">
      <c r="A7" s="1" t="s">
        <v>40</v>
      </c>
      <c r="G7" s="1" t="s">
        <v>41</v>
      </c>
    </row>
    <row r="8" spans="1:11" x14ac:dyDescent="0.3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G8" s="6" t="s">
        <v>42</v>
      </c>
      <c r="H8" s="6" t="s">
        <v>43</v>
      </c>
      <c r="I8" s="6" t="s">
        <v>44</v>
      </c>
      <c r="J8" s="6" t="s">
        <v>45</v>
      </c>
      <c r="K8" s="6" t="s">
        <v>46</v>
      </c>
    </row>
    <row r="9" spans="1:11" x14ac:dyDescent="0.35">
      <c r="A9" s="3" t="s">
        <v>47</v>
      </c>
      <c r="B9" s="10" t="s">
        <v>18</v>
      </c>
      <c r="C9" s="3" t="s">
        <v>48</v>
      </c>
      <c r="D9" s="10" t="s">
        <v>49</v>
      </c>
      <c r="E9" s="11">
        <v>650</v>
      </c>
      <c r="G9" s="3" t="s">
        <v>47</v>
      </c>
      <c r="H9" s="10" t="s">
        <v>18</v>
      </c>
      <c r="I9" s="3" t="s">
        <v>48</v>
      </c>
      <c r="J9" s="10" t="s">
        <v>49</v>
      </c>
      <c r="K9" s="11">
        <v>650</v>
      </c>
    </row>
    <row r="10" spans="1:11" x14ac:dyDescent="0.35">
      <c r="A10" s="3" t="s">
        <v>50</v>
      </c>
      <c r="B10" s="10" t="s">
        <v>20</v>
      </c>
      <c r="C10" s="3" t="s">
        <v>51</v>
      </c>
      <c r="D10" s="10" t="s">
        <v>52</v>
      </c>
      <c r="E10" s="11">
        <v>420</v>
      </c>
      <c r="G10" s="3" t="s">
        <v>50</v>
      </c>
      <c r="H10" s="10" t="s">
        <v>20</v>
      </c>
      <c r="I10" s="3" t="s">
        <v>51</v>
      </c>
      <c r="J10" s="10" t="s">
        <v>52</v>
      </c>
      <c r="K10" s="11">
        <v>420</v>
      </c>
    </row>
    <row r="11" spans="1:11" x14ac:dyDescent="0.35">
      <c r="A11" s="3" t="s">
        <v>53</v>
      </c>
      <c r="B11" s="10" t="s">
        <v>22</v>
      </c>
      <c r="C11" s="3" t="s">
        <v>54</v>
      </c>
      <c r="D11" s="10" t="s">
        <v>55</v>
      </c>
      <c r="E11" s="11">
        <v>890</v>
      </c>
      <c r="G11" s="3" t="s">
        <v>53</v>
      </c>
      <c r="H11" s="10" t="s">
        <v>22</v>
      </c>
      <c r="I11" s="3" t="s">
        <v>54</v>
      </c>
      <c r="J11" s="10" t="s">
        <v>55</v>
      </c>
      <c r="K11" s="11">
        <v>890</v>
      </c>
    </row>
    <row r="12" spans="1:11" x14ac:dyDescent="0.35">
      <c r="A12" s="3" t="s">
        <v>56</v>
      </c>
      <c r="B12" s="10" t="s">
        <v>24</v>
      </c>
      <c r="C12" s="3" t="s">
        <v>57</v>
      </c>
      <c r="D12" s="10" t="s">
        <v>58</v>
      </c>
      <c r="E12" s="11">
        <v>350</v>
      </c>
      <c r="G12" s="3" t="s">
        <v>56</v>
      </c>
      <c r="H12" s="10" t="s">
        <v>24</v>
      </c>
      <c r="I12" s="3" t="s">
        <v>57</v>
      </c>
      <c r="J12" s="10" t="s">
        <v>58</v>
      </c>
      <c r="K12" s="11">
        <v>350</v>
      </c>
    </row>
    <row r="13" spans="1:11" x14ac:dyDescent="0.35">
      <c r="A13" s="3" t="s">
        <v>59</v>
      </c>
      <c r="B13" s="10" t="s">
        <v>60</v>
      </c>
      <c r="C13" s="3" t="s">
        <v>61</v>
      </c>
      <c r="D13" s="10" t="s">
        <v>62</v>
      </c>
      <c r="E13" s="11">
        <v>1200</v>
      </c>
      <c r="G13" s="3" t="s">
        <v>59</v>
      </c>
      <c r="H13" s="10" t="s">
        <v>60</v>
      </c>
      <c r="I13" s="3" t="s">
        <v>61</v>
      </c>
      <c r="J13" s="10" t="s">
        <v>62</v>
      </c>
      <c r="K13" s="11">
        <v>1200</v>
      </c>
    </row>
    <row r="14" spans="1:11" x14ac:dyDescent="0.35">
      <c r="A14" s="12" t="s">
        <v>47</v>
      </c>
      <c r="B14" s="13" t="s">
        <v>18</v>
      </c>
      <c r="C14" s="12" t="s">
        <v>48</v>
      </c>
      <c r="D14" s="13" t="s">
        <v>49</v>
      </c>
      <c r="E14" s="14">
        <v>650</v>
      </c>
      <c r="G14" s="3" t="s">
        <v>63</v>
      </c>
      <c r="H14" s="10" t="s">
        <v>64</v>
      </c>
      <c r="I14" s="3" t="s">
        <v>65</v>
      </c>
      <c r="J14" s="10" t="s">
        <v>66</v>
      </c>
      <c r="K14" s="11">
        <v>540</v>
      </c>
    </row>
    <row r="15" spans="1:11" x14ac:dyDescent="0.35">
      <c r="A15" s="3" t="s">
        <v>63</v>
      </c>
      <c r="B15" s="10" t="s">
        <v>64</v>
      </c>
      <c r="C15" s="3" t="s">
        <v>65</v>
      </c>
      <c r="D15" s="10" t="s">
        <v>66</v>
      </c>
      <c r="E15" s="11">
        <v>540</v>
      </c>
      <c r="G15" s="3" t="s">
        <v>67</v>
      </c>
      <c r="H15" s="10" t="s">
        <v>68</v>
      </c>
      <c r="I15" s="3" t="s">
        <v>69</v>
      </c>
      <c r="J15" s="10" t="s">
        <v>70</v>
      </c>
      <c r="K15" s="11">
        <v>780</v>
      </c>
    </row>
    <row r="16" spans="1:11" x14ac:dyDescent="0.35">
      <c r="A16" s="3" t="s">
        <v>67</v>
      </c>
      <c r="B16" s="10" t="s">
        <v>68</v>
      </c>
      <c r="C16" s="3" t="s">
        <v>69</v>
      </c>
      <c r="D16" s="10" t="s">
        <v>70</v>
      </c>
      <c r="E16" s="11">
        <v>780</v>
      </c>
      <c r="G16" s="3" t="s">
        <v>71</v>
      </c>
      <c r="H16" s="10" t="s">
        <v>72</v>
      </c>
      <c r="I16" s="3" t="s">
        <v>73</v>
      </c>
      <c r="J16" s="10" t="s">
        <v>74</v>
      </c>
      <c r="K16" s="11">
        <v>920</v>
      </c>
    </row>
    <row r="17" spans="1:11" x14ac:dyDescent="0.35">
      <c r="A17" s="3" t="s">
        <v>71</v>
      </c>
      <c r="B17" s="10" t="s">
        <v>72</v>
      </c>
      <c r="C17" s="3" t="s">
        <v>73</v>
      </c>
      <c r="D17" s="10" t="s">
        <v>74</v>
      </c>
      <c r="E17" s="11">
        <v>920</v>
      </c>
      <c r="G17" s="3" t="s">
        <v>75</v>
      </c>
      <c r="H17" s="10" t="s">
        <v>76</v>
      </c>
      <c r="I17" s="3" t="s">
        <v>77</v>
      </c>
      <c r="J17" s="10" t="s">
        <v>78</v>
      </c>
      <c r="K17" s="11">
        <v>460</v>
      </c>
    </row>
    <row r="18" spans="1:11" x14ac:dyDescent="0.35">
      <c r="A18" s="3" t="s">
        <v>75</v>
      </c>
      <c r="B18" s="10" t="s">
        <v>76</v>
      </c>
      <c r="C18" s="3" t="s">
        <v>77</v>
      </c>
      <c r="D18" s="10" t="s">
        <v>78</v>
      </c>
      <c r="E18" s="11">
        <v>460</v>
      </c>
      <c r="G18" s="3" t="s">
        <v>79</v>
      </c>
      <c r="H18" s="10" t="s">
        <v>80</v>
      </c>
      <c r="I18" s="3" t="s">
        <v>81</v>
      </c>
      <c r="J18" s="10" t="s">
        <v>82</v>
      </c>
      <c r="K18" s="11">
        <v>610</v>
      </c>
    </row>
    <row r="19" spans="1:11" x14ac:dyDescent="0.35">
      <c r="A19" s="12" t="s">
        <v>56</v>
      </c>
      <c r="B19" s="13" t="s">
        <v>24</v>
      </c>
      <c r="C19" s="12" t="s">
        <v>57</v>
      </c>
      <c r="D19" s="13" t="s">
        <v>58</v>
      </c>
      <c r="E19" s="14">
        <v>350</v>
      </c>
      <c r="G19" s="3" t="s">
        <v>83</v>
      </c>
      <c r="H19" s="10" t="s">
        <v>84</v>
      </c>
      <c r="I19" s="3" t="s">
        <v>85</v>
      </c>
      <c r="J19" s="10" t="s">
        <v>86</v>
      </c>
      <c r="K19" s="11">
        <v>830</v>
      </c>
    </row>
    <row r="20" spans="1:11" x14ac:dyDescent="0.35">
      <c r="A20" s="3" t="s">
        <v>79</v>
      </c>
      <c r="B20" s="10" t="s">
        <v>80</v>
      </c>
      <c r="C20" s="3" t="s">
        <v>81</v>
      </c>
      <c r="D20" s="10" t="s">
        <v>82</v>
      </c>
      <c r="E20" s="11">
        <v>610</v>
      </c>
      <c r="G20" s="3" t="s">
        <v>87</v>
      </c>
      <c r="H20" s="10" t="s">
        <v>88</v>
      </c>
      <c r="I20" s="3" t="s">
        <v>89</v>
      </c>
      <c r="J20" s="10" t="s">
        <v>90</v>
      </c>
      <c r="K20" s="11">
        <v>390</v>
      </c>
    </row>
    <row r="21" spans="1:11" x14ac:dyDescent="0.35">
      <c r="A21" s="3" t="s">
        <v>83</v>
      </c>
      <c r="B21" s="10" t="s">
        <v>84</v>
      </c>
      <c r="C21" s="3" t="s">
        <v>85</v>
      </c>
      <c r="D21" s="10" t="s">
        <v>86</v>
      </c>
      <c r="E21" s="11">
        <v>830</v>
      </c>
      <c r="G21" s="3" t="s">
        <v>91</v>
      </c>
      <c r="H21" s="10" t="s">
        <v>92</v>
      </c>
      <c r="I21" s="3" t="s">
        <v>93</v>
      </c>
      <c r="J21" s="10" t="s">
        <v>94</v>
      </c>
      <c r="K21" s="11">
        <v>1100</v>
      </c>
    </row>
    <row r="22" spans="1:11" x14ac:dyDescent="0.35">
      <c r="A22" s="3" t="s">
        <v>87</v>
      </c>
      <c r="B22" s="10" t="s">
        <v>88</v>
      </c>
      <c r="C22" s="3" t="s">
        <v>89</v>
      </c>
      <c r="D22" s="10" t="s">
        <v>90</v>
      </c>
      <c r="E22" s="11">
        <v>390</v>
      </c>
      <c r="G22" s="3" t="s">
        <v>95</v>
      </c>
      <c r="H22" s="10" t="s">
        <v>96</v>
      </c>
      <c r="I22" s="3" t="s">
        <v>97</v>
      </c>
      <c r="J22" s="10" t="s">
        <v>98</v>
      </c>
      <c r="K22" s="11">
        <v>740</v>
      </c>
    </row>
    <row r="23" spans="1:11" x14ac:dyDescent="0.35">
      <c r="A23" s="3" t="s">
        <v>91</v>
      </c>
      <c r="B23" s="10" t="s">
        <v>92</v>
      </c>
      <c r="C23" s="3" t="s">
        <v>93</v>
      </c>
      <c r="D23" s="10" t="s">
        <v>94</v>
      </c>
      <c r="E23" s="11">
        <v>1100</v>
      </c>
      <c r="G23" s="3" t="s">
        <v>99</v>
      </c>
      <c r="H23" s="10" t="s">
        <v>100</v>
      </c>
      <c r="I23" s="3" t="s">
        <v>101</v>
      </c>
      <c r="J23" s="10" t="s">
        <v>102</v>
      </c>
      <c r="K23" s="11">
        <v>580</v>
      </c>
    </row>
    <row r="24" spans="1:11" x14ac:dyDescent="0.35">
      <c r="A24" s="3" t="s">
        <v>95</v>
      </c>
      <c r="B24" s="10" t="s">
        <v>96</v>
      </c>
      <c r="C24" s="3" t="s">
        <v>97</v>
      </c>
      <c r="D24" s="10" t="s">
        <v>98</v>
      </c>
      <c r="E24" s="11">
        <v>740</v>
      </c>
      <c r="G24" s="3" t="s">
        <v>103</v>
      </c>
      <c r="H24" s="10" t="s">
        <v>104</v>
      </c>
      <c r="I24" s="3" t="s">
        <v>105</v>
      </c>
      <c r="J24" s="10" t="s">
        <v>106</v>
      </c>
      <c r="K24" s="11">
        <v>490</v>
      </c>
    </row>
    <row r="25" spans="1:11" x14ac:dyDescent="0.35">
      <c r="A25" s="12" t="s">
        <v>75</v>
      </c>
      <c r="B25" s="13" t="s">
        <v>76</v>
      </c>
      <c r="C25" s="12" t="s">
        <v>77</v>
      </c>
      <c r="D25" s="13" t="s">
        <v>78</v>
      </c>
      <c r="E25" s="14">
        <v>460</v>
      </c>
      <c r="G25" s="3" t="s">
        <v>107</v>
      </c>
      <c r="H25" s="10" t="s">
        <v>108</v>
      </c>
      <c r="I25" s="3" t="s">
        <v>109</v>
      </c>
      <c r="J25" s="10" t="s">
        <v>110</v>
      </c>
      <c r="K25" s="11">
        <v>950</v>
      </c>
    </row>
    <row r="26" spans="1:11" x14ac:dyDescent="0.35">
      <c r="A26" s="3" t="s">
        <v>99</v>
      </c>
      <c r="B26" s="10" t="s">
        <v>100</v>
      </c>
      <c r="C26" s="3" t="s">
        <v>101</v>
      </c>
      <c r="D26" s="10" t="s">
        <v>102</v>
      </c>
      <c r="E26" s="11">
        <v>580</v>
      </c>
      <c r="G26" s="3" t="s">
        <v>111</v>
      </c>
      <c r="H26" s="10" t="s">
        <v>112</v>
      </c>
      <c r="I26" s="3" t="s">
        <v>113</v>
      </c>
      <c r="J26" s="10" t="s">
        <v>114</v>
      </c>
      <c r="K26" s="11">
        <v>670</v>
      </c>
    </row>
    <row r="27" spans="1:11" x14ac:dyDescent="0.35">
      <c r="A27" s="3" t="s">
        <v>103</v>
      </c>
      <c r="B27" s="10" t="s">
        <v>104</v>
      </c>
      <c r="C27" s="3" t="s">
        <v>105</v>
      </c>
      <c r="D27" s="10" t="s">
        <v>106</v>
      </c>
      <c r="E27" s="11">
        <v>490</v>
      </c>
      <c r="G27" s="3" t="s">
        <v>115</v>
      </c>
      <c r="H27" s="10" t="s">
        <v>116</v>
      </c>
      <c r="I27" s="3" t="s">
        <v>117</v>
      </c>
      <c r="J27" s="10" t="s">
        <v>118</v>
      </c>
      <c r="K27" s="11">
        <v>520</v>
      </c>
    </row>
    <row r="28" spans="1:11" x14ac:dyDescent="0.35">
      <c r="A28" s="3" t="s">
        <v>107</v>
      </c>
      <c r="B28" s="10" t="s">
        <v>108</v>
      </c>
      <c r="C28" s="3" t="s">
        <v>109</v>
      </c>
      <c r="D28" s="10" t="s">
        <v>110</v>
      </c>
      <c r="E28" s="11">
        <v>950</v>
      </c>
      <c r="G28" s="3" t="s">
        <v>119</v>
      </c>
      <c r="H28" s="10" t="s">
        <v>120</v>
      </c>
      <c r="I28" s="3" t="s">
        <v>121</v>
      </c>
      <c r="J28" s="10" t="s">
        <v>122</v>
      </c>
      <c r="K28" s="11">
        <v>880</v>
      </c>
    </row>
    <row r="29" spans="1:11" x14ac:dyDescent="0.35">
      <c r="A29" s="3" t="s">
        <v>111</v>
      </c>
      <c r="B29" s="10" t="s">
        <v>112</v>
      </c>
      <c r="C29" s="3" t="s">
        <v>113</v>
      </c>
      <c r="D29" s="10" t="s">
        <v>114</v>
      </c>
      <c r="E29" s="11">
        <v>670</v>
      </c>
      <c r="G29" s="3" t="s">
        <v>123</v>
      </c>
      <c r="H29" s="10" t="s">
        <v>124</v>
      </c>
      <c r="I29" s="3" t="s">
        <v>125</v>
      </c>
      <c r="J29" s="10" t="s">
        <v>126</v>
      </c>
      <c r="K29" s="11">
        <v>430</v>
      </c>
    </row>
    <row r="30" spans="1:11" x14ac:dyDescent="0.35">
      <c r="A30" s="3" t="s">
        <v>115</v>
      </c>
      <c r="B30" s="10" t="s">
        <v>116</v>
      </c>
      <c r="C30" s="3" t="s">
        <v>117</v>
      </c>
      <c r="D30" s="10" t="s">
        <v>118</v>
      </c>
      <c r="E30" s="11">
        <v>520</v>
      </c>
      <c r="G30" s="3" t="s">
        <v>127</v>
      </c>
      <c r="H30" s="10" t="s">
        <v>128</v>
      </c>
      <c r="I30" s="3" t="s">
        <v>129</v>
      </c>
      <c r="J30" s="10" t="s">
        <v>130</v>
      </c>
      <c r="K30" s="11">
        <v>760</v>
      </c>
    </row>
    <row r="31" spans="1:11" x14ac:dyDescent="0.35">
      <c r="A31" s="12" t="s">
        <v>95</v>
      </c>
      <c r="B31" s="13" t="s">
        <v>96</v>
      </c>
      <c r="C31" s="12" t="s">
        <v>97</v>
      </c>
      <c r="D31" s="13" t="s">
        <v>98</v>
      </c>
      <c r="E31" s="14">
        <v>740</v>
      </c>
      <c r="G31" s="3" t="s">
        <v>131</v>
      </c>
      <c r="H31" s="10" t="s">
        <v>132</v>
      </c>
      <c r="I31" s="3" t="s">
        <v>133</v>
      </c>
      <c r="J31" s="10" t="s">
        <v>134</v>
      </c>
      <c r="K31" s="11">
        <v>630</v>
      </c>
    </row>
    <row r="32" spans="1:11" x14ac:dyDescent="0.35">
      <c r="A32" s="3" t="s">
        <v>119</v>
      </c>
      <c r="B32" s="10" t="s">
        <v>120</v>
      </c>
      <c r="C32" s="3" t="s">
        <v>121</v>
      </c>
      <c r="D32" s="10" t="s">
        <v>122</v>
      </c>
      <c r="E32" s="11">
        <v>880</v>
      </c>
      <c r="G32" s="3" t="s">
        <v>135</v>
      </c>
      <c r="H32" s="10" t="s">
        <v>136</v>
      </c>
      <c r="I32" s="3" t="s">
        <v>137</v>
      </c>
      <c r="J32" s="10" t="s">
        <v>138</v>
      </c>
      <c r="K32" s="11">
        <v>990</v>
      </c>
    </row>
    <row r="33" spans="1:11" x14ac:dyDescent="0.35">
      <c r="A33" s="3" t="s">
        <v>123</v>
      </c>
      <c r="B33" s="10" t="s">
        <v>124</v>
      </c>
      <c r="C33" s="3" t="s">
        <v>125</v>
      </c>
      <c r="D33" s="10" t="s">
        <v>126</v>
      </c>
      <c r="E33" s="11">
        <v>430</v>
      </c>
      <c r="G33" s="3" t="s">
        <v>139</v>
      </c>
      <c r="H33" s="10" t="s">
        <v>140</v>
      </c>
      <c r="I33" s="3" t="s">
        <v>141</v>
      </c>
      <c r="J33" s="10" t="s">
        <v>142</v>
      </c>
      <c r="K33" s="11">
        <v>510</v>
      </c>
    </row>
    <row r="34" spans="1:11" x14ac:dyDescent="0.35">
      <c r="A34" s="3" t="s">
        <v>127</v>
      </c>
      <c r="B34" s="10" t="s">
        <v>128</v>
      </c>
      <c r="C34" s="3" t="s">
        <v>129</v>
      </c>
      <c r="D34" s="10" t="s">
        <v>130</v>
      </c>
      <c r="E34" s="11">
        <v>760</v>
      </c>
    </row>
    <row r="35" spans="1:11" x14ac:dyDescent="0.35">
      <c r="A35" s="3" t="s">
        <v>131</v>
      </c>
      <c r="B35" s="10" t="s">
        <v>132</v>
      </c>
      <c r="C35" s="3" t="s">
        <v>133</v>
      </c>
      <c r="D35" s="10" t="s">
        <v>134</v>
      </c>
      <c r="E35" s="11">
        <v>630</v>
      </c>
    </row>
    <row r="36" spans="1:11" x14ac:dyDescent="0.35">
      <c r="A36" s="3" t="s">
        <v>135</v>
      </c>
      <c r="B36" s="10" t="s">
        <v>136</v>
      </c>
      <c r="C36" s="3" t="s">
        <v>137</v>
      </c>
      <c r="D36" s="10" t="s">
        <v>138</v>
      </c>
      <c r="E36" s="11">
        <v>990</v>
      </c>
      <c r="G36" s="15" t="s">
        <v>143</v>
      </c>
    </row>
    <row r="37" spans="1:11" x14ac:dyDescent="0.35">
      <c r="A37" s="12" t="s">
        <v>119</v>
      </c>
      <c r="B37" s="13" t="s">
        <v>120</v>
      </c>
      <c r="C37" s="12" t="s">
        <v>121</v>
      </c>
      <c r="D37" s="13" t="s">
        <v>122</v>
      </c>
      <c r="E37" s="14">
        <v>880</v>
      </c>
      <c r="G37" s="16" t="s">
        <v>144</v>
      </c>
    </row>
    <row r="38" spans="1:11" x14ac:dyDescent="0.35">
      <c r="A38" s="3" t="s">
        <v>139</v>
      </c>
      <c r="B38" s="10" t="s">
        <v>140</v>
      </c>
      <c r="C38" s="3" t="s">
        <v>141</v>
      </c>
      <c r="D38" s="10" t="s">
        <v>142</v>
      </c>
      <c r="E38" s="11">
        <v>510</v>
      </c>
      <c r="G38" s="16" t="s">
        <v>145</v>
      </c>
    </row>
    <row r="39" spans="1:11" x14ac:dyDescent="0.35">
      <c r="G39" s="16" t="s">
        <v>146</v>
      </c>
    </row>
    <row r="40" spans="1:11" x14ac:dyDescent="0.35">
      <c r="G40" s="16" t="s">
        <v>147</v>
      </c>
    </row>
  </sheetData>
  <mergeCells count="8">
    <mergeCell ref="A1:K1"/>
    <mergeCell ref="A4:B4"/>
    <mergeCell ref="G4:H4"/>
    <mergeCell ref="D5:E5"/>
    <mergeCell ref="A5:B5"/>
    <mergeCell ref="A2:K2"/>
    <mergeCell ref="G5:H5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topLeftCell="B14" zoomScale="85" workbookViewId="0">
      <selection activeCell="C24" sqref="C24"/>
    </sheetView>
  </sheetViews>
  <sheetFormatPr defaultRowHeight="14.5" x14ac:dyDescent="0.35"/>
  <cols>
    <col min="1" max="1" width="118" customWidth="1"/>
    <col min="2" max="2" width="59" customWidth="1"/>
    <col min="3" max="3" width="26" customWidth="1"/>
    <col min="4" max="4" width="28" customWidth="1"/>
    <col min="5" max="5" width="27" customWidth="1"/>
    <col min="6" max="6" width="14" customWidth="1"/>
    <col min="7" max="7" width="27" customWidth="1"/>
    <col min="8" max="9" width="14" customWidth="1"/>
  </cols>
  <sheetData>
    <row r="1" spans="1:9" ht="34" customHeight="1" x14ac:dyDescent="0.35">
      <c r="A1" s="28" t="s">
        <v>148</v>
      </c>
      <c r="B1" s="27"/>
      <c r="C1" s="27"/>
      <c r="D1" s="27"/>
      <c r="E1" s="27"/>
      <c r="F1" s="27"/>
      <c r="G1" s="27"/>
      <c r="H1" s="27"/>
      <c r="I1" s="27"/>
    </row>
    <row r="2" spans="1:9" ht="20" customHeight="1" x14ac:dyDescent="0.35">
      <c r="A2" s="30" t="s">
        <v>149</v>
      </c>
      <c r="B2" s="27"/>
      <c r="C2" s="27"/>
      <c r="D2" s="27"/>
      <c r="E2" s="27"/>
      <c r="F2" s="27"/>
      <c r="G2" s="27"/>
      <c r="H2" s="27"/>
      <c r="I2" s="27"/>
    </row>
    <row r="4" spans="1:9" ht="17" x14ac:dyDescent="0.4">
      <c r="A4" s="1" t="s">
        <v>150</v>
      </c>
    </row>
    <row r="5" spans="1:9" x14ac:dyDescent="0.35">
      <c r="A5" s="2" t="s">
        <v>42</v>
      </c>
      <c r="B5" s="2" t="s">
        <v>151</v>
      </c>
      <c r="C5" s="2" t="s">
        <v>152</v>
      </c>
      <c r="D5" s="2" t="s">
        <v>153</v>
      </c>
      <c r="E5" s="2" t="s">
        <v>154</v>
      </c>
      <c r="F5" s="2" t="s">
        <v>155</v>
      </c>
      <c r="G5" s="2" t="s">
        <v>156</v>
      </c>
    </row>
    <row r="6" spans="1:9" x14ac:dyDescent="0.35">
      <c r="A6" s="3" t="s">
        <v>47</v>
      </c>
      <c r="B6" s="10" t="s">
        <v>157</v>
      </c>
      <c r="C6" s="17" t="s">
        <v>158</v>
      </c>
      <c r="D6" s="4" t="s">
        <v>159</v>
      </c>
      <c r="E6" s="4" t="s">
        <v>160</v>
      </c>
      <c r="F6" s="17" t="s">
        <v>161</v>
      </c>
      <c r="G6" s="5" t="e">
        <f t="shared" ref="G6:G20" ca="1" si="0">TEXTSPLIT(B6, ", ")</f>
        <v>#NAME?</v>
      </c>
    </row>
    <row r="7" spans="1:9" x14ac:dyDescent="0.35">
      <c r="A7" s="3" t="s">
        <v>50</v>
      </c>
      <c r="B7" s="10" t="s">
        <v>162</v>
      </c>
      <c r="C7" s="17" t="s">
        <v>163</v>
      </c>
      <c r="D7" s="4" t="s">
        <v>164</v>
      </c>
      <c r="E7" s="4" t="s">
        <v>165</v>
      </c>
      <c r="F7" s="17" t="s">
        <v>166</v>
      </c>
      <c r="G7" s="5" t="e">
        <f t="shared" ca="1" si="0"/>
        <v>#NAME?</v>
      </c>
    </row>
    <row r="8" spans="1:9" x14ac:dyDescent="0.35">
      <c r="A8" s="3" t="s">
        <v>53</v>
      </c>
      <c r="B8" s="10" t="s">
        <v>167</v>
      </c>
      <c r="C8" s="17" t="s">
        <v>168</v>
      </c>
      <c r="D8" s="4" t="s">
        <v>169</v>
      </c>
      <c r="E8" s="4" t="s">
        <v>170</v>
      </c>
      <c r="F8" s="17" t="s">
        <v>171</v>
      </c>
      <c r="G8" s="5" t="e">
        <f t="shared" ca="1" si="0"/>
        <v>#NAME?</v>
      </c>
    </row>
    <row r="9" spans="1:9" x14ac:dyDescent="0.35">
      <c r="A9" s="3" t="s">
        <v>56</v>
      </c>
      <c r="B9" s="10" t="s">
        <v>172</v>
      </c>
      <c r="C9" s="17" t="s">
        <v>173</v>
      </c>
      <c r="D9" s="4" t="s">
        <v>174</v>
      </c>
      <c r="E9" s="4" t="s">
        <v>175</v>
      </c>
      <c r="F9" s="17" t="s">
        <v>161</v>
      </c>
      <c r="G9" s="5" t="e">
        <f t="shared" ca="1" si="0"/>
        <v>#NAME?</v>
      </c>
    </row>
    <row r="10" spans="1:9" x14ac:dyDescent="0.35">
      <c r="A10" s="3" t="s">
        <v>59</v>
      </c>
      <c r="B10" s="10" t="s">
        <v>176</v>
      </c>
      <c r="C10" s="17" t="s">
        <v>177</v>
      </c>
      <c r="D10" s="4" t="s">
        <v>178</v>
      </c>
      <c r="E10" s="4" t="s">
        <v>179</v>
      </c>
      <c r="F10" s="17" t="s">
        <v>180</v>
      </c>
      <c r="G10" s="5" t="e">
        <f t="shared" ca="1" si="0"/>
        <v>#NAME?</v>
      </c>
    </row>
    <row r="11" spans="1:9" x14ac:dyDescent="0.35">
      <c r="A11" s="3" t="s">
        <v>63</v>
      </c>
      <c r="B11" s="10" t="s">
        <v>181</v>
      </c>
      <c r="C11" s="17" t="s">
        <v>182</v>
      </c>
      <c r="D11" s="4" t="s">
        <v>183</v>
      </c>
      <c r="E11" s="4" t="s">
        <v>184</v>
      </c>
      <c r="F11" s="17" t="s">
        <v>166</v>
      </c>
      <c r="G11" s="5" t="e">
        <f t="shared" ca="1" si="0"/>
        <v>#NAME?</v>
      </c>
    </row>
    <row r="12" spans="1:9" x14ac:dyDescent="0.35">
      <c r="A12" s="3" t="s">
        <v>67</v>
      </c>
      <c r="B12" s="10" t="s">
        <v>185</v>
      </c>
      <c r="C12" s="17" t="s">
        <v>186</v>
      </c>
      <c r="D12" s="4" t="s">
        <v>187</v>
      </c>
      <c r="E12" s="4" t="s">
        <v>188</v>
      </c>
      <c r="F12" s="17" t="s">
        <v>171</v>
      </c>
      <c r="G12" s="5" t="e">
        <f t="shared" ca="1" si="0"/>
        <v>#NAME?</v>
      </c>
    </row>
    <row r="13" spans="1:9" x14ac:dyDescent="0.35">
      <c r="A13" s="3" t="s">
        <v>71</v>
      </c>
      <c r="B13" s="10" t="s">
        <v>189</v>
      </c>
      <c r="C13" s="17" t="s">
        <v>190</v>
      </c>
      <c r="D13" s="4" t="s">
        <v>191</v>
      </c>
      <c r="E13" s="4" t="s">
        <v>160</v>
      </c>
      <c r="F13" s="17" t="s">
        <v>161</v>
      </c>
      <c r="G13" s="5" t="e">
        <f t="shared" ca="1" si="0"/>
        <v>#NAME?</v>
      </c>
    </row>
    <row r="14" spans="1:9" x14ac:dyDescent="0.35">
      <c r="A14" s="3" t="s">
        <v>75</v>
      </c>
      <c r="B14" s="10" t="s">
        <v>192</v>
      </c>
      <c r="C14" s="17" t="s">
        <v>193</v>
      </c>
      <c r="D14" s="4" t="s">
        <v>194</v>
      </c>
      <c r="E14" s="4" t="s">
        <v>195</v>
      </c>
      <c r="F14" s="17" t="s">
        <v>161</v>
      </c>
      <c r="G14" s="5" t="e">
        <f t="shared" ca="1" si="0"/>
        <v>#NAME?</v>
      </c>
    </row>
    <row r="15" spans="1:9" x14ac:dyDescent="0.35">
      <c r="A15" s="3" t="s">
        <v>79</v>
      </c>
      <c r="B15" s="10" t="s">
        <v>196</v>
      </c>
      <c r="C15" s="17" t="s">
        <v>197</v>
      </c>
      <c r="D15" s="4" t="s">
        <v>198</v>
      </c>
      <c r="E15" s="4" t="s">
        <v>199</v>
      </c>
      <c r="F15" s="17" t="s">
        <v>161</v>
      </c>
      <c r="G15" s="5" t="e">
        <f t="shared" ca="1" si="0"/>
        <v>#NAME?</v>
      </c>
    </row>
    <row r="16" spans="1:9" x14ac:dyDescent="0.35">
      <c r="A16" s="3" t="s">
        <v>83</v>
      </c>
      <c r="B16" s="10" t="s">
        <v>200</v>
      </c>
      <c r="C16" s="17" t="s">
        <v>201</v>
      </c>
      <c r="D16" s="4" t="s">
        <v>202</v>
      </c>
      <c r="E16" s="4" t="s">
        <v>203</v>
      </c>
      <c r="F16" s="17" t="s">
        <v>166</v>
      </c>
      <c r="G16" s="5" t="e">
        <f t="shared" ca="1" si="0"/>
        <v>#NAME?</v>
      </c>
    </row>
    <row r="17" spans="1:7" x14ac:dyDescent="0.35">
      <c r="A17" s="3" t="s">
        <v>87</v>
      </c>
      <c r="B17" s="10" t="s">
        <v>204</v>
      </c>
      <c r="C17" s="17" t="s">
        <v>205</v>
      </c>
      <c r="D17" s="4" t="s">
        <v>206</v>
      </c>
      <c r="E17" s="4" t="s">
        <v>207</v>
      </c>
      <c r="F17" s="17" t="s">
        <v>171</v>
      </c>
      <c r="G17" s="5" t="e">
        <f t="shared" ca="1" si="0"/>
        <v>#NAME?</v>
      </c>
    </row>
    <row r="18" spans="1:7" x14ac:dyDescent="0.35">
      <c r="A18" s="3" t="s">
        <v>91</v>
      </c>
      <c r="B18" s="10" t="s">
        <v>208</v>
      </c>
      <c r="C18" s="17" t="s">
        <v>209</v>
      </c>
      <c r="D18" s="4" t="s">
        <v>210</v>
      </c>
      <c r="E18" s="4" t="s">
        <v>211</v>
      </c>
      <c r="F18" s="17" t="s">
        <v>161</v>
      </c>
      <c r="G18" s="5" t="e">
        <f t="shared" ca="1" si="0"/>
        <v>#NAME?</v>
      </c>
    </row>
    <row r="19" spans="1:7" x14ac:dyDescent="0.35">
      <c r="A19" s="3" t="s">
        <v>95</v>
      </c>
      <c r="B19" s="10" t="s">
        <v>212</v>
      </c>
      <c r="C19" s="17" t="s">
        <v>213</v>
      </c>
      <c r="D19" s="4" t="s">
        <v>214</v>
      </c>
      <c r="E19" s="4" t="s">
        <v>215</v>
      </c>
      <c r="F19" s="17" t="s">
        <v>180</v>
      </c>
      <c r="G19" s="5" t="e">
        <f t="shared" ca="1" si="0"/>
        <v>#NAME?</v>
      </c>
    </row>
    <row r="20" spans="1:7" x14ac:dyDescent="0.35">
      <c r="A20" s="3" t="s">
        <v>99</v>
      </c>
      <c r="B20" s="10" t="s">
        <v>216</v>
      </c>
      <c r="C20" s="17" t="s">
        <v>217</v>
      </c>
      <c r="D20" s="4" t="s">
        <v>218</v>
      </c>
      <c r="E20" s="4" t="s">
        <v>219</v>
      </c>
      <c r="F20" s="17" t="s">
        <v>161</v>
      </c>
      <c r="G20" s="5" t="e">
        <f t="shared" ca="1" si="0"/>
        <v>#NAME?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topLeftCell="B8" workbookViewId="0">
      <selection activeCell="A2" sqref="A2:G2"/>
    </sheetView>
  </sheetViews>
  <sheetFormatPr defaultRowHeight="14.5" x14ac:dyDescent="0.35"/>
  <cols>
    <col min="1" max="1" width="118" customWidth="1"/>
    <col min="2" max="2" width="18" customWidth="1"/>
    <col min="3" max="3" width="32" customWidth="1"/>
    <col min="4" max="4" width="23" customWidth="1"/>
    <col min="5" max="5" width="19" customWidth="1"/>
    <col min="6" max="6" width="24" customWidth="1"/>
    <col min="7" max="7" width="25" customWidth="1"/>
  </cols>
  <sheetData>
    <row r="1" spans="1:7" ht="34" customHeight="1" x14ac:dyDescent="0.35">
      <c r="A1" s="28" t="s">
        <v>220</v>
      </c>
      <c r="B1" s="27"/>
      <c r="C1" s="27"/>
      <c r="D1" s="27"/>
      <c r="E1" s="27"/>
      <c r="F1" s="27"/>
      <c r="G1" s="27"/>
    </row>
    <row r="2" spans="1:7" ht="20" customHeight="1" x14ac:dyDescent="0.35">
      <c r="A2" s="30"/>
      <c r="B2" s="27"/>
      <c r="C2" s="27"/>
      <c r="D2" s="27"/>
      <c r="E2" s="27"/>
      <c r="F2" s="27"/>
      <c r="G2" s="27"/>
    </row>
    <row r="4" spans="1:7" ht="17" x14ac:dyDescent="0.4">
      <c r="A4" s="1" t="s">
        <v>221</v>
      </c>
    </row>
    <row r="5" spans="1:7" x14ac:dyDescent="0.35">
      <c r="A5" s="2" t="s">
        <v>11</v>
      </c>
      <c r="B5" s="2" t="s">
        <v>43</v>
      </c>
      <c r="C5" s="2" t="s">
        <v>222</v>
      </c>
      <c r="D5" s="2" t="s">
        <v>223</v>
      </c>
      <c r="E5" s="2" t="s">
        <v>224</v>
      </c>
      <c r="F5" s="2" t="s">
        <v>225</v>
      </c>
      <c r="G5" s="2" t="s">
        <v>226</v>
      </c>
    </row>
    <row r="6" spans="1:7" x14ac:dyDescent="0.35">
      <c r="A6" s="3" t="s">
        <v>227</v>
      </c>
      <c r="B6" s="10" t="s">
        <v>18</v>
      </c>
      <c r="C6" s="10" t="s">
        <v>228</v>
      </c>
      <c r="D6" s="8" t="s">
        <v>229</v>
      </c>
      <c r="E6" s="3" t="s">
        <v>230</v>
      </c>
      <c r="F6" s="5" t="e">
        <f t="shared" ref="F6:F25" ca="1" si="0">TEXTBEFORE(C6, "@")</f>
        <v>#NAME?</v>
      </c>
      <c r="G6" s="18" t="s">
        <v>231</v>
      </c>
    </row>
    <row r="7" spans="1:7" x14ac:dyDescent="0.35">
      <c r="A7" s="3" t="s">
        <v>232</v>
      </c>
      <c r="B7" s="10" t="s">
        <v>20</v>
      </c>
      <c r="C7" s="10" t="s">
        <v>233</v>
      </c>
      <c r="D7" s="8" t="s">
        <v>234</v>
      </c>
      <c r="E7" s="3" t="s">
        <v>235</v>
      </c>
      <c r="F7" s="5" t="e">
        <f t="shared" ca="1" si="0"/>
        <v>#NAME?</v>
      </c>
      <c r="G7" s="18" t="s">
        <v>231</v>
      </c>
    </row>
    <row r="8" spans="1:7" x14ac:dyDescent="0.35">
      <c r="A8" s="3" t="s">
        <v>236</v>
      </c>
      <c r="B8" s="10" t="s">
        <v>22</v>
      </c>
      <c r="C8" s="10" t="s">
        <v>237</v>
      </c>
      <c r="D8" s="8" t="s">
        <v>238</v>
      </c>
      <c r="E8" s="3" t="s">
        <v>239</v>
      </c>
      <c r="F8" s="5" t="e">
        <f t="shared" ca="1" si="0"/>
        <v>#NAME?</v>
      </c>
      <c r="G8" s="18" t="s">
        <v>231</v>
      </c>
    </row>
    <row r="9" spans="1:7" x14ac:dyDescent="0.35">
      <c r="A9" s="3" t="s">
        <v>240</v>
      </c>
      <c r="B9" s="10" t="s">
        <v>24</v>
      </c>
      <c r="C9" s="10" t="s">
        <v>241</v>
      </c>
      <c r="D9" s="8" t="s">
        <v>242</v>
      </c>
      <c r="E9" s="3" t="s">
        <v>243</v>
      </c>
      <c r="F9" s="5" t="e">
        <f t="shared" ca="1" si="0"/>
        <v>#NAME?</v>
      </c>
      <c r="G9" s="18" t="s">
        <v>231</v>
      </c>
    </row>
    <row r="10" spans="1:7" x14ac:dyDescent="0.35">
      <c r="A10" s="3" t="s">
        <v>244</v>
      </c>
      <c r="B10" s="10" t="s">
        <v>60</v>
      </c>
      <c r="C10" s="10" t="s">
        <v>245</v>
      </c>
      <c r="D10" s="8" t="s">
        <v>246</v>
      </c>
      <c r="E10" s="3" t="s">
        <v>230</v>
      </c>
      <c r="F10" s="5" t="e">
        <f t="shared" ca="1" si="0"/>
        <v>#NAME?</v>
      </c>
      <c r="G10" s="18" t="s">
        <v>231</v>
      </c>
    </row>
    <row r="11" spans="1:7" x14ac:dyDescent="0.35">
      <c r="A11" s="3" t="s">
        <v>247</v>
      </c>
      <c r="B11" s="10" t="s">
        <v>64</v>
      </c>
      <c r="C11" s="10" t="s">
        <v>248</v>
      </c>
      <c r="D11" s="8" t="s">
        <v>249</v>
      </c>
      <c r="E11" s="3" t="s">
        <v>250</v>
      </c>
      <c r="F11" s="5" t="e">
        <f t="shared" ca="1" si="0"/>
        <v>#NAME?</v>
      </c>
      <c r="G11" s="18" t="s">
        <v>231</v>
      </c>
    </row>
    <row r="12" spans="1:7" x14ac:dyDescent="0.35">
      <c r="A12" s="3" t="s">
        <v>251</v>
      </c>
      <c r="B12" s="10" t="s">
        <v>68</v>
      </c>
      <c r="C12" s="10" t="s">
        <v>252</v>
      </c>
      <c r="D12" s="8" t="s">
        <v>253</v>
      </c>
      <c r="E12" s="3" t="s">
        <v>254</v>
      </c>
      <c r="F12" s="5" t="e">
        <f t="shared" ca="1" si="0"/>
        <v>#NAME?</v>
      </c>
      <c r="G12" s="18" t="s">
        <v>231</v>
      </c>
    </row>
    <row r="13" spans="1:7" x14ac:dyDescent="0.35">
      <c r="A13" s="3" t="s">
        <v>255</v>
      </c>
      <c r="B13" s="10" t="s">
        <v>72</v>
      </c>
      <c r="C13" s="10" t="s">
        <v>256</v>
      </c>
      <c r="D13" s="8" t="s">
        <v>257</v>
      </c>
      <c r="E13" s="3" t="s">
        <v>230</v>
      </c>
      <c r="F13" s="5" t="e">
        <f t="shared" ca="1" si="0"/>
        <v>#NAME?</v>
      </c>
      <c r="G13" s="18" t="s">
        <v>231</v>
      </c>
    </row>
    <row r="14" spans="1:7" x14ac:dyDescent="0.35">
      <c r="A14" s="3" t="s">
        <v>258</v>
      </c>
      <c r="B14" s="10" t="s">
        <v>76</v>
      </c>
      <c r="C14" s="10" t="s">
        <v>259</v>
      </c>
      <c r="D14" s="8" t="s">
        <v>260</v>
      </c>
      <c r="E14" s="3" t="s">
        <v>261</v>
      </c>
      <c r="F14" s="5" t="e">
        <f t="shared" ca="1" si="0"/>
        <v>#NAME?</v>
      </c>
      <c r="G14" s="18" t="s">
        <v>231</v>
      </c>
    </row>
    <row r="15" spans="1:7" x14ac:dyDescent="0.35">
      <c r="A15" s="3" t="s">
        <v>262</v>
      </c>
      <c r="B15" s="10" t="s">
        <v>80</v>
      </c>
      <c r="C15" s="10" t="s">
        <v>263</v>
      </c>
      <c r="D15" s="8" t="s">
        <v>264</v>
      </c>
      <c r="E15" s="3" t="s">
        <v>265</v>
      </c>
      <c r="F15" s="5" t="e">
        <f t="shared" ca="1" si="0"/>
        <v>#NAME?</v>
      </c>
      <c r="G15" s="18" t="s">
        <v>231</v>
      </c>
    </row>
    <row r="16" spans="1:7" x14ac:dyDescent="0.35">
      <c r="A16" s="3" t="s">
        <v>266</v>
      </c>
      <c r="B16" s="10" t="s">
        <v>84</v>
      </c>
      <c r="C16" s="10" t="s">
        <v>267</v>
      </c>
      <c r="D16" s="8" t="s">
        <v>268</v>
      </c>
      <c r="E16" s="3" t="s">
        <v>230</v>
      </c>
      <c r="F16" s="5" t="e">
        <f t="shared" ca="1" si="0"/>
        <v>#NAME?</v>
      </c>
      <c r="G16" s="18" t="s">
        <v>231</v>
      </c>
    </row>
    <row r="17" spans="1:7" x14ac:dyDescent="0.35">
      <c r="A17" s="3" t="s">
        <v>269</v>
      </c>
      <c r="B17" s="10" t="s">
        <v>88</v>
      </c>
      <c r="C17" s="10" t="s">
        <v>270</v>
      </c>
      <c r="D17" s="8" t="s">
        <v>271</v>
      </c>
      <c r="E17" s="3" t="s">
        <v>272</v>
      </c>
      <c r="F17" s="5" t="e">
        <f t="shared" ca="1" si="0"/>
        <v>#NAME?</v>
      </c>
      <c r="G17" s="18" t="s">
        <v>231</v>
      </c>
    </row>
    <row r="18" spans="1:7" x14ac:dyDescent="0.35">
      <c r="A18" s="3" t="s">
        <v>273</v>
      </c>
      <c r="B18" s="10" t="s">
        <v>92</v>
      </c>
      <c r="C18" s="10" t="s">
        <v>274</v>
      </c>
      <c r="D18" s="8" t="s">
        <v>275</v>
      </c>
      <c r="E18" s="3" t="s">
        <v>276</v>
      </c>
      <c r="F18" s="5" t="e">
        <f t="shared" ca="1" si="0"/>
        <v>#NAME?</v>
      </c>
      <c r="G18" s="18" t="s">
        <v>231</v>
      </c>
    </row>
    <row r="19" spans="1:7" x14ac:dyDescent="0.35">
      <c r="A19" s="3" t="s">
        <v>277</v>
      </c>
      <c r="B19" s="10" t="s">
        <v>96</v>
      </c>
      <c r="C19" s="10" t="s">
        <v>278</v>
      </c>
      <c r="D19" s="8" t="s">
        <v>279</v>
      </c>
      <c r="E19" s="3" t="s">
        <v>230</v>
      </c>
      <c r="F19" s="5" t="e">
        <f t="shared" ca="1" si="0"/>
        <v>#NAME?</v>
      </c>
      <c r="G19" s="18" t="s">
        <v>231</v>
      </c>
    </row>
    <row r="20" spans="1:7" x14ac:dyDescent="0.35">
      <c r="A20" s="3" t="s">
        <v>280</v>
      </c>
      <c r="B20" s="10" t="s">
        <v>100</v>
      </c>
      <c r="C20" s="10" t="s">
        <v>281</v>
      </c>
      <c r="D20" s="8" t="s">
        <v>282</v>
      </c>
      <c r="E20" s="3" t="s">
        <v>283</v>
      </c>
      <c r="F20" s="5" t="e">
        <f t="shared" ca="1" si="0"/>
        <v>#NAME?</v>
      </c>
      <c r="G20" s="18" t="s">
        <v>231</v>
      </c>
    </row>
    <row r="21" spans="1:7" x14ac:dyDescent="0.35">
      <c r="A21" s="3" t="s">
        <v>284</v>
      </c>
      <c r="B21" s="10" t="s">
        <v>104</v>
      </c>
      <c r="C21" s="10" t="s">
        <v>285</v>
      </c>
      <c r="D21" s="8" t="s">
        <v>286</v>
      </c>
      <c r="E21" s="3" t="s">
        <v>287</v>
      </c>
      <c r="F21" s="5" t="e">
        <f t="shared" ca="1" si="0"/>
        <v>#NAME?</v>
      </c>
      <c r="G21" s="18" t="s">
        <v>231</v>
      </c>
    </row>
    <row r="22" spans="1:7" x14ac:dyDescent="0.35">
      <c r="A22" s="3" t="s">
        <v>288</v>
      </c>
      <c r="B22" s="10" t="s">
        <v>108</v>
      </c>
      <c r="C22" s="10" t="s">
        <v>289</v>
      </c>
      <c r="D22" s="8" t="s">
        <v>290</v>
      </c>
      <c r="E22" s="3" t="s">
        <v>230</v>
      </c>
      <c r="F22" s="5" t="e">
        <f t="shared" ca="1" si="0"/>
        <v>#NAME?</v>
      </c>
      <c r="G22" s="18" t="s">
        <v>231</v>
      </c>
    </row>
    <row r="23" spans="1:7" x14ac:dyDescent="0.35">
      <c r="A23" s="3" t="s">
        <v>291</v>
      </c>
      <c r="B23" s="10" t="s">
        <v>112</v>
      </c>
      <c r="C23" s="10" t="s">
        <v>292</v>
      </c>
      <c r="D23" s="8" t="s">
        <v>293</v>
      </c>
      <c r="E23" s="3" t="s">
        <v>294</v>
      </c>
      <c r="F23" s="5" t="e">
        <f t="shared" ca="1" si="0"/>
        <v>#NAME?</v>
      </c>
      <c r="G23" s="18" t="s">
        <v>231</v>
      </c>
    </row>
    <row r="24" spans="1:7" x14ac:dyDescent="0.35">
      <c r="A24" s="3" t="s">
        <v>295</v>
      </c>
      <c r="B24" s="10" t="s">
        <v>116</v>
      </c>
      <c r="C24" s="10" t="s">
        <v>296</v>
      </c>
      <c r="D24" s="8" t="s">
        <v>297</v>
      </c>
      <c r="E24" s="3" t="s">
        <v>230</v>
      </c>
      <c r="F24" s="5" t="e">
        <f t="shared" ca="1" si="0"/>
        <v>#NAME?</v>
      </c>
      <c r="G24" s="18" t="s">
        <v>231</v>
      </c>
    </row>
    <row r="25" spans="1:7" x14ac:dyDescent="0.35">
      <c r="A25" s="3" t="s">
        <v>298</v>
      </c>
      <c r="B25" s="10" t="s">
        <v>120</v>
      </c>
      <c r="C25" s="10" t="s">
        <v>299</v>
      </c>
      <c r="D25" s="8" t="s">
        <v>300</v>
      </c>
      <c r="E25" s="3" t="s">
        <v>230</v>
      </c>
      <c r="F25" s="5" t="e">
        <f t="shared" ca="1" si="0"/>
        <v>#NAME?</v>
      </c>
      <c r="G25" s="18" t="s">
        <v>231</v>
      </c>
    </row>
    <row r="28" spans="1:7" x14ac:dyDescent="0.35">
      <c r="A28" s="15"/>
    </row>
    <row r="29" spans="1:7" x14ac:dyDescent="0.35">
      <c r="A29" s="16"/>
    </row>
    <row r="30" spans="1:7" x14ac:dyDescent="0.35">
      <c r="A30" s="16"/>
    </row>
    <row r="31" spans="1:7" x14ac:dyDescent="0.35">
      <c r="A31" s="16"/>
    </row>
    <row r="32" spans="1:7" x14ac:dyDescent="0.35">
      <c r="A32" s="16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topLeftCell="B7" workbookViewId="0">
      <selection activeCell="A32" sqref="A32"/>
    </sheetView>
  </sheetViews>
  <sheetFormatPr defaultRowHeight="14.5" x14ac:dyDescent="0.35"/>
  <cols>
    <col min="1" max="1" width="151" customWidth="1"/>
    <col min="2" max="2" width="18" customWidth="1"/>
    <col min="3" max="3" width="24" customWidth="1"/>
    <col min="4" max="4" width="27" customWidth="1"/>
    <col min="5" max="5" width="17" customWidth="1"/>
    <col min="6" max="6" width="48" customWidth="1"/>
    <col min="7" max="7" width="37" customWidth="1"/>
    <col min="8" max="8" width="14" customWidth="1"/>
  </cols>
  <sheetData>
    <row r="1" spans="1:8" ht="34" customHeight="1" x14ac:dyDescent="0.35">
      <c r="A1" s="28" t="s">
        <v>301</v>
      </c>
      <c r="B1" s="27"/>
      <c r="C1" s="27"/>
      <c r="D1" s="27"/>
      <c r="E1" s="27"/>
      <c r="F1" s="27"/>
      <c r="G1" s="27"/>
      <c r="H1" s="27"/>
    </row>
    <row r="2" spans="1:8" ht="20" customHeight="1" x14ac:dyDescent="0.35">
      <c r="A2" s="30"/>
      <c r="B2" s="27"/>
      <c r="C2" s="27"/>
      <c r="D2" s="27"/>
      <c r="E2" s="27"/>
      <c r="F2" s="27"/>
      <c r="G2" s="27"/>
      <c r="H2" s="27"/>
    </row>
    <row r="4" spans="1:8" ht="17" x14ac:dyDescent="0.4">
      <c r="A4" s="1" t="s">
        <v>302</v>
      </c>
    </row>
    <row r="5" spans="1:8" x14ac:dyDescent="0.35">
      <c r="A5" s="2" t="s">
        <v>303</v>
      </c>
      <c r="B5" s="2" t="s">
        <v>304</v>
      </c>
      <c r="C5" s="2" t="s">
        <v>305</v>
      </c>
      <c r="D5" s="2" t="s">
        <v>306</v>
      </c>
      <c r="E5" s="2" t="s">
        <v>307</v>
      </c>
      <c r="F5" s="2" t="s">
        <v>308</v>
      </c>
    </row>
    <row r="6" spans="1:8" x14ac:dyDescent="0.35">
      <c r="A6" s="3" t="s">
        <v>309</v>
      </c>
      <c r="B6" s="10" t="s">
        <v>18</v>
      </c>
      <c r="C6" s="19" t="s">
        <v>48</v>
      </c>
      <c r="D6" s="20" t="s">
        <v>310</v>
      </c>
      <c r="E6" s="3" t="s">
        <v>311</v>
      </c>
      <c r="F6" s="5" t="str">
        <f t="shared" ref="F6:F25" si="0">IF(LEFT(C6,2)="98", "99"&amp;MID(C6,3,8), C6)</f>
        <v>9976543210</v>
      </c>
    </row>
    <row r="7" spans="1:8" x14ac:dyDescent="0.35">
      <c r="A7" s="3" t="s">
        <v>312</v>
      </c>
      <c r="B7" s="10" t="s">
        <v>20</v>
      </c>
      <c r="C7" s="19" t="s">
        <v>51</v>
      </c>
      <c r="D7" s="20" t="s">
        <v>313</v>
      </c>
      <c r="E7" s="3" t="s">
        <v>311</v>
      </c>
      <c r="F7" s="5" t="str">
        <f t="shared" si="0"/>
        <v>9925012345</v>
      </c>
    </row>
    <row r="8" spans="1:8" x14ac:dyDescent="0.35">
      <c r="A8" s="3" t="s">
        <v>314</v>
      </c>
      <c r="B8" s="10" t="s">
        <v>22</v>
      </c>
      <c r="C8" s="3" t="s">
        <v>65</v>
      </c>
      <c r="D8" s="17" t="s">
        <v>65</v>
      </c>
      <c r="E8" s="3" t="s">
        <v>315</v>
      </c>
      <c r="F8" s="5" t="str">
        <f t="shared" si="0"/>
        <v>9712345678</v>
      </c>
    </row>
    <row r="9" spans="1:8" x14ac:dyDescent="0.35">
      <c r="A9" s="3" t="s">
        <v>316</v>
      </c>
      <c r="B9" s="10" t="s">
        <v>24</v>
      </c>
      <c r="C9" s="19" t="s">
        <v>57</v>
      </c>
      <c r="D9" s="20" t="s">
        <v>317</v>
      </c>
      <c r="E9" s="3" t="s">
        <v>311</v>
      </c>
      <c r="F9" s="5" t="str">
        <f t="shared" si="0"/>
        <v>9998123456</v>
      </c>
    </row>
    <row r="10" spans="1:8" x14ac:dyDescent="0.35">
      <c r="A10" s="3" t="s">
        <v>318</v>
      </c>
      <c r="B10" s="10" t="s">
        <v>60</v>
      </c>
      <c r="C10" s="3" t="s">
        <v>54</v>
      </c>
      <c r="D10" s="17" t="s">
        <v>54</v>
      </c>
      <c r="E10" s="3" t="s">
        <v>319</v>
      </c>
      <c r="F10" s="5" t="str">
        <f t="shared" si="0"/>
        <v>9909988776</v>
      </c>
    </row>
    <row r="11" spans="1:8" x14ac:dyDescent="0.35">
      <c r="A11" s="3" t="s">
        <v>320</v>
      </c>
      <c r="B11" s="10" t="s">
        <v>64</v>
      </c>
      <c r="C11" s="19" t="s">
        <v>61</v>
      </c>
      <c r="D11" s="20" t="s">
        <v>321</v>
      </c>
      <c r="E11" s="3" t="s">
        <v>311</v>
      </c>
      <c r="F11" s="5" t="str">
        <f t="shared" si="0"/>
        <v>9924056789</v>
      </c>
    </row>
    <row r="12" spans="1:8" x14ac:dyDescent="0.35">
      <c r="A12" s="3" t="s">
        <v>322</v>
      </c>
      <c r="B12" s="10" t="s">
        <v>68</v>
      </c>
      <c r="C12" s="3" t="s">
        <v>323</v>
      </c>
      <c r="D12" s="17" t="s">
        <v>323</v>
      </c>
      <c r="E12" s="3" t="s">
        <v>324</v>
      </c>
      <c r="F12" s="5" t="str">
        <f t="shared" si="0"/>
        <v>9654123456</v>
      </c>
    </row>
    <row r="13" spans="1:8" x14ac:dyDescent="0.35">
      <c r="A13" s="3" t="s">
        <v>325</v>
      </c>
      <c r="B13" s="10" t="s">
        <v>72</v>
      </c>
      <c r="C13" s="19" t="s">
        <v>69</v>
      </c>
      <c r="D13" s="20" t="s">
        <v>326</v>
      </c>
      <c r="E13" s="3" t="s">
        <v>311</v>
      </c>
      <c r="F13" s="5" t="str">
        <f t="shared" si="0"/>
        <v>9979012345</v>
      </c>
    </row>
    <row r="14" spans="1:8" x14ac:dyDescent="0.35">
      <c r="A14" s="3" t="s">
        <v>327</v>
      </c>
      <c r="B14" s="10" t="s">
        <v>76</v>
      </c>
      <c r="C14" s="19" t="s">
        <v>77</v>
      </c>
      <c r="D14" s="20" t="s">
        <v>328</v>
      </c>
      <c r="E14" s="3" t="s">
        <v>311</v>
      </c>
      <c r="F14" s="5" t="str">
        <f t="shared" si="0"/>
        <v>9925478901</v>
      </c>
    </row>
    <row r="15" spans="1:8" x14ac:dyDescent="0.35">
      <c r="A15" s="3" t="s">
        <v>329</v>
      </c>
      <c r="B15" s="10" t="s">
        <v>80</v>
      </c>
      <c r="C15" s="3" t="s">
        <v>81</v>
      </c>
      <c r="D15" s="17" t="s">
        <v>81</v>
      </c>
      <c r="E15" s="3" t="s">
        <v>315</v>
      </c>
      <c r="F15" s="5" t="str">
        <f t="shared" si="0"/>
        <v>9723456789</v>
      </c>
    </row>
    <row r="16" spans="1:8" x14ac:dyDescent="0.35">
      <c r="A16" s="3" t="s">
        <v>330</v>
      </c>
      <c r="B16" s="10" t="s">
        <v>84</v>
      </c>
      <c r="C16" s="19" t="s">
        <v>85</v>
      </c>
      <c r="D16" s="20" t="s">
        <v>331</v>
      </c>
      <c r="E16" s="3" t="s">
        <v>311</v>
      </c>
      <c r="F16" s="5" t="str">
        <f t="shared" si="0"/>
        <v>9998654321</v>
      </c>
    </row>
    <row r="17" spans="1:6" x14ac:dyDescent="0.35">
      <c r="A17" s="3" t="s">
        <v>332</v>
      </c>
      <c r="B17" s="10" t="s">
        <v>88</v>
      </c>
      <c r="C17" s="3" t="s">
        <v>89</v>
      </c>
      <c r="D17" s="17" t="s">
        <v>89</v>
      </c>
      <c r="E17" s="3" t="s">
        <v>319</v>
      </c>
      <c r="F17" s="5" t="str">
        <f t="shared" si="0"/>
        <v>9904567890</v>
      </c>
    </row>
    <row r="18" spans="1:6" x14ac:dyDescent="0.35">
      <c r="A18" s="3" t="s">
        <v>333</v>
      </c>
      <c r="B18" s="10" t="s">
        <v>92</v>
      </c>
      <c r="C18" s="19" t="s">
        <v>93</v>
      </c>
      <c r="D18" s="20" t="s">
        <v>334</v>
      </c>
      <c r="E18" s="3" t="s">
        <v>311</v>
      </c>
      <c r="F18" s="5" t="str">
        <f t="shared" si="0"/>
        <v>9976123456</v>
      </c>
    </row>
    <row r="19" spans="1:6" x14ac:dyDescent="0.35">
      <c r="A19" s="3" t="s">
        <v>335</v>
      </c>
      <c r="B19" s="10" t="s">
        <v>96</v>
      </c>
      <c r="C19" s="19" t="s">
        <v>97</v>
      </c>
      <c r="D19" s="20" t="s">
        <v>336</v>
      </c>
      <c r="E19" s="3" t="s">
        <v>311</v>
      </c>
      <c r="F19" s="5" t="str">
        <f t="shared" si="0"/>
        <v>9925112233</v>
      </c>
    </row>
    <row r="20" spans="1:6" x14ac:dyDescent="0.35">
      <c r="A20" s="3" t="s">
        <v>337</v>
      </c>
      <c r="B20" s="10" t="s">
        <v>100</v>
      </c>
      <c r="C20" s="3" t="s">
        <v>338</v>
      </c>
      <c r="D20" s="17" t="s">
        <v>338</v>
      </c>
      <c r="E20" s="3" t="s">
        <v>324</v>
      </c>
      <c r="F20" s="5" t="str">
        <f t="shared" si="0"/>
        <v>9612345678</v>
      </c>
    </row>
    <row r="21" spans="1:6" x14ac:dyDescent="0.35">
      <c r="A21" s="3" t="s">
        <v>339</v>
      </c>
      <c r="B21" s="10" t="s">
        <v>104</v>
      </c>
      <c r="C21" s="19" t="s">
        <v>105</v>
      </c>
      <c r="D21" s="20" t="s">
        <v>340</v>
      </c>
      <c r="E21" s="3" t="s">
        <v>311</v>
      </c>
      <c r="F21" s="5" t="str">
        <f t="shared" si="0"/>
        <v>9998001122</v>
      </c>
    </row>
    <row r="22" spans="1:6" x14ac:dyDescent="0.35">
      <c r="A22" s="3" t="s">
        <v>341</v>
      </c>
      <c r="B22" s="10" t="s">
        <v>108</v>
      </c>
      <c r="C22" s="3" t="s">
        <v>109</v>
      </c>
      <c r="D22" s="17" t="s">
        <v>109</v>
      </c>
      <c r="E22" s="3" t="s">
        <v>319</v>
      </c>
      <c r="F22" s="5" t="str">
        <f t="shared" si="0"/>
        <v>9924567890</v>
      </c>
    </row>
    <row r="23" spans="1:6" x14ac:dyDescent="0.35">
      <c r="A23" s="3" t="s">
        <v>342</v>
      </c>
      <c r="B23" s="10" t="s">
        <v>112</v>
      </c>
      <c r="C23" s="19" t="s">
        <v>113</v>
      </c>
      <c r="D23" s="20" t="s">
        <v>343</v>
      </c>
      <c r="E23" s="3" t="s">
        <v>311</v>
      </c>
      <c r="F23" s="5" t="str">
        <f t="shared" si="0"/>
        <v>9925998877</v>
      </c>
    </row>
    <row r="24" spans="1:6" x14ac:dyDescent="0.35">
      <c r="A24" s="3" t="s">
        <v>344</v>
      </c>
      <c r="B24" s="10" t="s">
        <v>116</v>
      </c>
      <c r="C24" s="3" t="s">
        <v>117</v>
      </c>
      <c r="D24" s="17" t="s">
        <v>117</v>
      </c>
      <c r="E24" s="3" t="s">
        <v>315</v>
      </c>
      <c r="F24" s="5" t="str">
        <f t="shared" si="0"/>
        <v>9725123456</v>
      </c>
    </row>
    <row r="25" spans="1:6" x14ac:dyDescent="0.35">
      <c r="A25" s="3" t="s">
        <v>345</v>
      </c>
      <c r="B25" s="10" t="s">
        <v>120</v>
      </c>
      <c r="C25" s="19" t="s">
        <v>121</v>
      </c>
      <c r="D25" s="20" t="s">
        <v>346</v>
      </c>
      <c r="E25" s="3" t="s">
        <v>311</v>
      </c>
      <c r="F25" s="5" t="str">
        <f t="shared" si="0"/>
        <v>9979554433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tabSelected="1" workbookViewId="0">
      <selection activeCell="A2" sqref="A2:K2"/>
    </sheetView>
  </sheetViews>
  <sheetFormatPr defaultRowHeight="14.5" x14ac:dyDescent="0.35"/>
  <cols>
    <col min="1" max="1" width="142" customWidth="1"/>
    <col min="2" max="4" width="14" customWidth="1"/>
    <col min="5" max="5" width="27" customWidth="1"/>
    <col min="6" max="6" width="29" customWidth="1"/>
    <col min="7" max="7" width="68" customWidth="1"/>
    <col min="8" max="10" width="14" customWidth="1"/>
    <col min="11" max="11" width="37" customWidth="1"/>
    <col min="12" max="12" width="47" customWidth="1"/>
  </cols>
  <sheetData>
    <row r="1" spans="1:12" ht="34" customHeight="1" x14ac:dyDescent="0.35">
      <c r="A1" s="28" t="s">
        <v>347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2" ht="20" customHeight="1" x14ac:dyDescent="0.35">
      <c r="A2" s="30"/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2" ht="17" x14ac:dyDescent="0.4">
      <c r="A4" s="1" t="s">
        <v>348</v>
      </c>
      <c r="G4" s="1" t="s">
        <v>349</v>
      </c>
    </row>
    <row r="5" spans="1:12" x14ac:dyDescent="0.35">
      <c r="A5" s="2" t="s">
        <v>350</v>
      </c>
      <c r="B5" s="2" t="s">
        <v>351</v>
      </c>
      <c r="C5" s="2" t="s">
        <v>352</v>
      </c>
      <c r="D5" s="2" t="s">
        <v>353</v>
      </c>
      <c r="E5" s="2" t="s">
        <v>354</v>
      </c>
      <c r="F5" s="2" t="s">
        <v>355</v>
      </c>
      <c r="G5" s="6" t="s">
        <v>350</v>
      </c>
      <c r="H5" s="6" t="s">
        <v>351</v>
      </c>
      <c r="I5" s="6" t="s">
        <v>352</v>
      </c>
      <c r="J5" s="6" t="s">
        <v>353</v>
      </c>
      <c r="K5" s="6" t="s">
        <v>356</v>
      </c>
      <c r="L5" s="6" t="s">
        <v>357</v>
      </c>
    </row>
    <row r="6" spans="1:12" x14ac:dyDescent="0.35">
      <c r="A6" s="10" t="s">
        <v>358</v>
      </c>
      <c r="B6" s="3">
        <v>15</v>
      </c>
      <c r="C6" s="3">
        <v>741</v>
      </c>
      <c r="D6" s="3">
        <v>12</v>
      </c>
      <c r="E6" s="21">
        <f>C6/D6</f>
        <v>61.75</v>
      </c>
      <c r="F6" s="22" t="s">
        <v>359</v>
      </c>
      <c r="G6" s="10" t="s">
        <v>358</v>
      </c>
      <c r="H6" s="3">
        <v>15</v>
      </c>
      <c r="I6" s="3">
        <v>741</v>
      </c>
      <c r="J6" s="3">
        <v>12</v>
      </c>
      <c r="K6" s="23">
        <f>IFERROR(ROUND(I6/J6, 2), "N/A")</f>
        <v>61.75</v>
      </c>
      <c r="L6" s="5">
        <f>IFERROR(ROUND(I6/J6, 2), "N/A")</f>
        <v>61.75</v>
      </c>
    </row>
    <row r="7" spans="1:12" x14ac:dyDescent="0.35">
      <c r="A7" s="10" t="s">
        <v>360</v>
      </c>
      <c r="B7" s="3">
        <v>14</v>
      </c>
      <c r="C7" s="3">
        <v>583</v>
      </c>
      <c r="D7" s="3">
        <v>11</v>
      </c>
      <c r="E7" s="21">
        <f>C7/D7</f>
        <v>53</v>
      </c>
      <c r="F7" s="22" t="s">
        <v>359</v>
      </c>
      <c r="G7" s="10" t="s">
        <v>360</v>
      </c>
      <c r="H7" s="3">
        <v>14</v>
      </c>
      <c r="I7" s="3">
        <v>583</v>
      </c>
      <c r="J7" s="3">
        <v>11</v>
      </c>
      <c r="K7" s="23">
        <f>IFERROR(ROUND(I7/J7, 2), "N/A")</f>
        <v>53</v>
      </c>
      <c r="L7" s="5">
        <f>IFERROR(ROUND(I7/J7, 2), "N/A")</f>
        <v>53</v>
      </c>
    </row>
    <row r="8" spans="1:12" x14ac:dyDescent="0.35">
      <c r="A8" s="10" t="s">
        <v>361</v>
      </c>
      <c r="B8" s="3">
        <v>12</v>
      </c>
      <c r="C8" s="3">
        <v>426</v>
      </c>
      <c r="D8" s="3">
        <v>10</v>
      </c>
      <c r="E8" s="21">
        <f>C8/D8</f>
        <v>42.6</v>
      </c>
      <c r="F8" s="22" t="s">
        <v>359</v>
      </c>
      <c r="G8" s="10" t="s">
        <v>361</v>
      </c>
      <c r="H8" s="3">
        <v>12</v>
      </c>
      <c r="I8" s="3">
        <v>426</v>
      </c>
      <c r="J8" s="3">
        <v>10</v>
      </c>
      <c r="K8" s="23">
        <f>IFERROR(ROUND(I8/J8, 2), "N/A")</f>
        <v>42.6</v>
      </c>
      <c r="L8" s="5">
        <f>IFERROR(ROUND(I8/J8, 2), "N/A")</f>
        <v>42.6</v>
      </c>
    </row>
    <row r="9" spans="1:12" x14ac:dyDescent="0.35">
      <c r="A9" s="10" t="s">
        <v>362</v>
      </c>
      <c r="B9" s="3">
        <v>5</v>
      </c>
      <c r="C9" s="3">
        <v>28</v>
      </c>
      <c r="D9" s="19">
        <v>0</v>
      </c>
      <c r="E9" s="24" t="e">
        <v>#DIV/0!</v>
      </c>
      <c r="F9" s="25" t="s">
        <v>363</v>
      </c>
      <c r="G9" s="10" t="s">
        <v>362</v>
      </c>
      <c r="H9" s="3">
        <v>5</v>
      </c>
      <c r="I9" s="3">
        <v>28</v>
      </c>
      <c r="J9" s="3">
        <v>0</v>
      </c>
      <c r="K9" s="20" t="s">
        <v>364</v>
      </c>
      <c r="L9" s="5" t="str">
        <f>IF(J9=0, "Not Out", ROUND(I9/J9, 2))</f>
        <v>Not Out</v>
      </c>
    </row>
    <row r="10" spans="1:12" x14ac:dyDescent="0.35">
      <c r="A10" s="10" t="s">
        <v>365</v>
      </c>
      <c r="B10" s="3">
        <v>4</v>
      </c>
      <c r="C10" s="3">
        <v>19</v>
      </c>
      <c r="D10" s="19">
        <v>0</v>
      </c>
      <c r="E10" s="24" t="e">
        <v>#DIV/0!</v>
      </c>
      <c r="F10" s="25" t="s">
        <v>363</v>
      </c>
      <c r="G10" s="10" t="s">
        <v>365</v>
      </c>
      <c r="H10" s="3">
        <v>4</v>
      </c>
      <c r="I10" s="3">
        <v>19</v>
      </c>
      <c r="J10" s="3">
        <v>0</v>
      </c>
      <c r="K10" s="20" t="s">
        <v>364</v>
      </c>
      <c r="L10" s="5" t="str">
        <f>IF(J10=0, "Not Out", ROUND(I10/J10, 2))</f>
        <v>Not Out</v>
      </c>
    </row>
    <row r="11" spans="1:12" x14ac:dyDescent="0.35">
      <c r="A11" s="10" t="s">
        <v>366</v>
      </c>
      <c r="B11" s="3">
        <v>14</v>
      </c>
      <c r="C11" s="3">
        <v>520</v>
      </c>
      <c r="D11" s="3">
        <v>14</v>
      </c>
      <c r="E11" s="21">
        <f>C11/D11</f>
        <v>37.142857142857146</v>
      </c>
      <c r="F11" s="22" t="s">
        <v>359</v>
      </c>
      <c r="G11" s="10" t="s">
        <v>366</v>
      </c>
      <c r="H11" s="3">
        <v>14</v>
      </c>
      <c r="I11" s="3">
        <v>520</v>
      </c>
      <c r="J11" s="3">
        <v>14</v>
      </c>
      <c r="K11" s="23">
        <f>IFERROR(ROUND(I11/J11, 2), "N/A")</f>
        <v>37.14</v>
      </c>
      <c r="L11" s="5">
        <f>IFERROR(ROUND(I11/J11, 2), "N/A")</f>
        <v>37.14</v>
      </c>
    </row>
    <row r="12" spans="1:12" x14ac:dyDescent="0.35">
      <c r="A12" s="10" t="s">
        <v>367</v>
      </c>
      <c r="B12" s="3">
        <v>10</v>
      </c>
      <c r="C12" s="3">
        <v>102</v>
      </c>
      <c r="D12" s="3">
        <v>6</v>
      </c>
      <c r="E12" s="21">
        <f>C12/D12</f>
        <v>17</v>
      </c>
      <c r="F12" s="22" t="s">
        <v>359</v>
      </c>
      <c r="G12" s="10" t="s">
        <v>367</v>
      </c>
      <c r="H12" s="3">
        <v>10</v>
      </c>
      <c r="I12" s="3">
        <v>102</v>
      </c>
      <c r="J12" s="3">
        <v>6</v>
      </c>
      <c r="K12" s="23">
        <f>IFERROR(ROUND(I12/J12, 2), "N/A")</f>
        <v>17</v>
      </c>
      <c r="L12" s="5">
        <f>IFERROR(ROUND(I12/J12, 2), "N/A")</f>
        <v>17</v>
      </c>
    </row>
    <row r="13" spans="1:12" x14ac:dyDescent="0.35">
      <c r="A13" s="10" t="s">
        <v>368</v>
      </c>
      <c r="B13" s="3">
        <v>3</v>
      </c>
      <c r="C13" s="19" t="s">
        <v>369</v>
      </c>
      <c r="D13" s="3">
        <v>1</v>
      </c>
      <c r="E13" s="24" t="e">
        <v>#VALUE!</v>
      </c>
      <c r="F13" s="25" t="s">
        <v>370</v>
      </c>
      <c r="G13" s="10" t="s">
        <v>368</v>
      </c>
      <c r="H13" s="3">
        <v>3</v>
      </c>
      <c r="I13" s="3">
        <v>0</v>
      </c>
      <c r="J13" s="3">
        <v>1</v>
      </c>
      <c r="K13" s="20" t="s">
        <v>371</v>
      </c>
      <c r="L13" s="5">
        <f>IF(ISNUMBER(I13), ROUND(I13/J13, 2), "DNB")</f>
        <v>0</v>
      </c>
    </row>
    <row r="14" spans="1:12" x14ac:dyDescent="0.35">
      <c r="A14" s="10" t="s">
        <v>372</v>
      </c>
      <c r="B14" s="3">
        <v>2</v>
      </c>
      <c r="C14" s="19" t="s">
        <v>373</v>
      </c>
      <c r="D14" s="19">
        <v>0</v>
      </c>
      <c r="E14" s="24" t="e">
        <v>#VALUE!</v>
      </c>
      <c r="F14" s="25" t="s">
        <v>374</v>
      </c>
      <c r="G14" s="10" t="s">
        <v>372</v>
      </c>
      <c r="H14" s="3">
        <v>2</v>
      </c>
      <c r="I14" s="3">
        <v>0</v>
      </c>
      <c r="J14" s="3">
        <v>0</v>
      </c>
      <c r="K14" s="20" t="s">
        <v>375</v>
      </c>
      <c r="L14" s="5" t="str">
        <f>IFERROR(ROUND(I14/J14, 2), "Did Not Bat")</f>
        <v>Did Not Bat</v>
      </c>
    </row>
    <row r="15" spans="1:12" x14ac:dyDescent="0.35">
      <c r="A15" s="10" t="s">
        <v>376</v>
      </c>
      <c r="B15" s="3">
        <v>13</v>
      </c>
      <c r="C15" s="3">
        <v>446</v>
      </c>
      <c r="D15" s="3">
        <v>11</v>
      </c>
      <c r="E15" s="21">
        <f>C15/D15</f>
        <v>40.545454545454547</v>
      </c>
      <c r="F15" s="22" t="s">
        <v>359</v>
      </c>
      <c r="G15" s="10" t="s">
        <v>376</v>
      </c>
      <c r="H15" s="3">
        <v>13</v>
      </c>
      <c r="I15" s="3">
        <v>446</v>
      </c>
      <c r="J15" s="3">
        <v>11</v>
      </c>
      <c r="K15" s="23">
        <f>IFERROR(ROUND(I15/J15, 2), "N/A")</f>
        <v>40.549999999999997</v>
      </c>
      <c r="L15" s="5">
        <f>IFERROR(ROUND(I15/J15, 2), "N/A")</f>
        <v>40.549999999999997</v>
      </c>
    </row>
    <row r="18" spans="1:1" x14ac:dyDescent="0.35">
      <c r="A18" s="15"/>
    </row>
    <row r="19" spans="1:1" x14ac:dyDescent="0.35">
      <c r="A19" s="16"/>
    </row>
    <row r="20" spans="1:1" x14ac:dyDescent="0.35">
      <c r="A20" s="15"/>
    </row>
    <row r="21" spans="1:1" x14ac:dyDescent="0.35">
      <c r="A21" s="16"/>
    </row>
    <row r="22" spans="1:1" x14ac:dyDescent="0.35">
      <c r="A22" s="16"/>
    </row>
    <row r="23" spans="1:1" x14ac:dyDescent="0.35">
      <c r="A23" s="16"/>
    </row>
    <row r="24" spans="1:1" x14ac:dyDescent="0.35">
      <c r="A24" s="15"/>
    </row>
    <row r="25" spans="1:1" x14ac:dyDescent="0.35">
      <c r="A25" s="16"/>
    </row>
    <row r="26" spans="1:1" x14ac:dyDescent="0.35">
      <c r="A26" s="16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Overview &amp; Demo</vt:lpstr>
      <vt:lpstr>Task 1 - Remove Duplicates</vt:lpstr>
      <vt:lpstr>Task 2 - Text to Columns</vt:lpstr>
      <vt:lpstr>Task 3 - Flash Fill</vt:lpstr>
      <vt:lpstr>Task 4 - Wildcard Replace</vt:lpstr>
      <vt:lpstr>Task 5 - Error Handling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2026-10-02T07:21:44Z</dcterms:created>
  <dcterms:modified xsi:type="dcterms:W3CDTF">2026-10-02T07:29:03Z</dcterms:modified>
</cp:coreProperties>
</file>