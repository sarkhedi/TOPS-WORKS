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color rgb="00003366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30" customWidth="1" min="4" max="4"/>
    <col width="40" customWidth="1" min="5" max="5"/>
  </cols>
  <sheetData>
    <row r="1" ht="32" customHeight="1">
      <c r="A1" s="1" t="inlineStr">
        <is>
          <t>SESSION 7 – Date &amp; Time Functions</t>
        </is>
      </c>
    </row>
    <row r="3">
      <c r="A3" s="2" t="inlineStr">
        <is>
          <t>Task 1: Current Date &amp; Time using TODAY() and NOW()</t>
        </is>
      </c>
    </row>
    <row r="4">
      <c r="A4" s="3" t="inlineStr">
        <is>
          <t>Description</t>
        </is>
      </c>
      <c r="B4" s="3" t="inlineStr">
        <is>
          <t>Excel Function / Formula</t>
        </is>
      </c>
      <c r="C4" s="3" t="inlineStr">
        <is>
          <t>Live Result (Output)</t>
        </is>
      </c>
    </row>
    <row r="5">
      <c r="A5" s="4" t="inlineStr">
        <is>
          <t>Current Date</t>
        </is>
      </c>
      <c r="B5" s="5">
        <f>TODAY()</f>
        <v/>
      </c>
      <c r="C5" s="6">
        <f>TODAY()</f>
        <v/>
      </c>
    </row>
    <row r="6">
      <c r="A6" s="4" t="inlineStr">
        <is>
          <t>Current Date &amp; Time</t>
        </is>
      </c>
      <c r="B6" s="5">
        <f>NOW()</f>
        <v/>
      </c>
      <c r="C6" s="7">
        <f>NOW()</f>
        <v/>
      </c>
    </row>
    <row r="8">
      <c r="A8" s="2" t="inlineStr">
        <is>
          <t>Task 2: Extract YEAR(), MONTH(), and DAY() from Friends' Birthdays</t>
        </is>
      </c>
    </row>
    <row r="9">
      <c r="A9" s="3" t="inlineStr">
        <is>
          <t>Friend Name</t>
        </is>
      </c>
      <c r="B9" s="3" t="inlineStr">
        <is>
          <t>Birthday (Input)</t>
        </is>
      </c>
      <c r="C9" s="3" t="inlineStr">
        <is>
          <t>Year (=YEAR)</t>
        </is>
      </c>
      <c r="D9" s="3" t="inlineStr">
        <is>
          <t>Month (=MONTH)</t>
        </is>
      </c>
      <c r="E9" s="3" t="inlineStr">
        <is>
          <t>Day (=DAY)</t>
        </is>
      </c>
    </row>
    <row r="10">
      <c r="A10" s="4" t="inlineStr">
        <is>
          <t>Rahul Sharma</t>
        </is>
      </c>
      <c r="B10" s="8" t="inlineStr">
        <is>
          <t>2002-05-15</t>
        </is>
      </c>
      <c r="C10" s="9">
        <f>YEAR(DATEVALUE("2002-05-15"))</f>
        <v/>
      </c>
      <c r="D10" s="9">
        <f>MONTH(DATEVALUE("2002-05-15"))</f>
        <v/>
      </c>
      <c r="E10" s="9">
        <f>DAY(DATEVALUE("2002-05-15"))</f>
        <v/>
      </c>
    </row>
    <row r="11">
      <c r="A11" s="4" t="inlineStr">
        <is>
          <t>Priya Patel</t>
        </is>
      </c>
      <c r="B11" s="8" t="inlineStr">
        <is>
          <t>2001-11-20</t>
        </is>
      </c>
      <c r="C11" s="9">
        <f>YEAR(DATEVALUE("2001-11-20"))</f>
        <v/>
      </c>
      <c r="D11" s="9">
        <f>MONTH(DATEVALUE("2001-11-20"))</f>
        <v/>
      </c>
      <c r="E11" s="9">
        <f>DAY(DATEVALUE("2001-11-20"))</f>
        <v/>
      </c>
    </row>
    <row r="12">
      <c r="A12" s="4" t="inlineStr">
        <is>
          <t>Amit Verma</t>
        </is>
      </c>
      <c r="B12" s="8" t="inlineStr">
        <is>
          <t>2003-08-05</t>
        </is>
      </c>
      <c r="C12" s="9">
        <f>YEAR(DATEVALUE("2003-08-05"))</f>
        <v/>
      </c>
      <c r="D12" s="9">
        <f>MONTH(DATEVALUE("2003-08-05"))</f>
        <v/>
      </c>
      <c r="E12" s="9">
        <f>DAY(DATEVALUE("2003-08-05"))</f>
        <v/>
      </c>
    </row>
    <row r="13">
      <c r="A13" s="4" t="inlineStr">
        <is>
          <t>Sneha Joshi</t>
        </is>
      </c>
      <c r="B13" s="8" t="inlineStr">
        <is>
          <t>2000-01-26</t>
        </is>
      </c>
      <c r="C13" s="9">
        <f>YEAR(DATEVALUE("2000-01-26"))</f>
        <v/>
      </c>
      <c r="D13" s="9">
        <f>MONTH(DATEVALUE("2000-01-26"))</f>
        <v/>
      </c>
      <c r="E13" s="9">
        <f>DAY(DATEVALUE("2000-01-26"))</f>
        <v/>
      </c>
    </row>
    <row r="14">
      <c r="A14" s="4" t="inlineStr">
        <is>
          <t>Karan Mehta</t>
        </is>
      </c>
      <c r="B14" s="8" t="inlineStr">
        <is>
          <t>2002-10-18</t>
        </is>
      </c>
      <c r="C14" s="9">
        <f>YEAR(DATEVALUE("2002-10-18"))</f>
        <v/>
      </c>
      <c r="D14" s="9">
        <f>MONTH(DATEVALUE("2002-10-18"))</f>
        <v/>
      </c>
      <c r="E14" s="9">
        <f>DAY(DATEVALUE("2002-10-18"))</f>
        <v/>
      </c>
    </row>
    <row r="16">
      <c r="A16" s="2" t="inlineStr">
        <is>
          <t>Task 3: Calculate Working Days between IPL Match Dates and Today using NETWORKDAYS()</t>
        </is>
      </c>
    </row>
    <row r="17">
      <c r="A17" s="3" t="inlineStr">
        <is>
          <t>Match Description</t>
        </is>
      </c>
      <c r="B17" s="3" t="inlineStr">
        <is>
          <t>Match Date (Input)</t>
        </is>
      </c>
      <c r="C17" s="3" t="inlineStr">
        <is>
          <t>Working Days to Today (NETWORKDAYS)</t>
        </is>
      </c>
      <c r="D17" s="3" t="inlineStr">
        <is>
          <t>Formula Applied</t>
        </is>
      </c>
    </row>
    <row r="18">
      <c r="A18" s="4" t="inlineStr">
        <is>
          <t>CSK vs RCB (Opening Match)</t>
        </is>
      </c>
      <c r="B18" s="8" t="inlineStr">
        <is>
          <t>2024-03-22</t>
        </is>
      </c>
      <c r="C18" s="9">
        <f>NETWORKDAYS(DATEVALUE("2024-03-22"), TODAY())</f>
        <v/>
      </c>
      <c r="D18" s="5">
        <f>NETWORKDAYS(B18, TODAY())</f>
        <v/>
      </c>
    </row>
    <row r="19">
      <c r="A19" s="4" t="inlineStr">
        <is>
          <t>GT vs MI (Ahmedabad)</t>
        </is>
      </c>
      <c r="B19" s="8" t="inlineStr">
        <is>
          <t>2024-03-24</t>
        </is>
      </c>
      <c r="C19" s="9">
        <f>NETWORKDAYS(DATEVALUE("2024-03-24"), TODAY())</f>
        <v/>
      </c>
      <c r="D19" s="5">
        <f>NETWORKDAYS(B19, TODAY())</f>
        <v/>
      </c>
    </row>
    <row r="20">
      <c r="A20" s="4" t="inlineStr">
        <is>
          <t>RR vs DC (Jaipur)</t>
        </is>
      </c>
      <c r="B20" s="8" t="inlineStr">
        <is>
          <t>2024-03-28</t>
        </is>
      </c>
      <c r="C20" s="9">
        <f>NETWORKDAYS(DATEVALUE("2024-03-28"), TODAY())</f>
        <v/>
      </c>
      <c r="D20" s="5">
        <f>NETWORKDAYS(B20, TODAY())</f>
        <v/>
      </c>
    </row>
    <row r="21">
      <c r="A21" s="4" t="inlineStr">
        <is>
          <t>KKR vs SRH (Kolkata)</t>
        </is>
      </c>
      <c r="B21" s="8" t="inlineStr">
        <is>
          <t>2024-03-30</t>
        </is>
      </c>
      <c r="C21" s="9">
        <f>NETWORKDAYS(DATEVALUE("2024-03-30"), TODAY())</f>
        <v/>
      </c>
      <c r="D21" s="5">
        <f>NETWORKDAYS(B21, TODAY())</f>
        <v/>
      </c>
    </row>
    <row r="22">
      <c r="A22" s="4" t="inlineStr">
        <is>
          <t>MI vs CSK (Wankhede)</t>
        </is>
      </c>
      <c r="B22" s="8" t="inlineStr">
        <is>
          <t>2024-04-14</t>
        </is>
      </c>
      <c r="C22" s="9">
        <f>NETWORKDAYS(DATEVALUE("2024-04-14"), TODAY())</f>
        <v/>
      </c>
      <c r="D22" s="5">
        <f>NETWORKDAYS(B22, TODAY())</f>
        <v/>
      </c>
    </row>
    <row r="24">
      <c r="A24" s="2" t="inlineStr">
        <is>
          <t>Task 4: Calculate Delivery Days Taken using DATEDIF()</t>
        </is>
      </c>
    </row>
    <row r="25">
      <c r="A25" s="3" t="inlineStr">
        <is>
          <t>Flipkart Order Item</t>
        </is>
      </c>
      <c r="B25" s="3" t="inlineStr">
        <is>
          <t>Order Date (Input)</t>
        </is>
      </c>
      <c r="C25" s="3" t="inlineStr">
        <is>
          <t>Delivery Date (Input)</t>
        </is>
      </c>
      <c r="D25" s="3" t="inlineStr">
        <is>
          <t>Days Taken (DATEDIF)</t>
        </is>
      </c>
      <c r="E25" s="3" t="inlineStr">
        <is>
          <t>Formula Applied</t>
        </is>
      </c>
    </row>
    <row r="26">
      <c r="A26" s="4" t="inlineStr">
        <is>
          <t>Boat Earphones</t>
        </is>
      </c>
      <c r="B26" s="8" t="inlineStr">
        <is>
          <t>2024-09-01</t>
        </is>
      </c>
      <c r="C26" s="8" t="inlineStr">
        <is>
          <t>2024-09-04</t>
        </is>
      </c>
      <c r="D26" s="9">
        <f>DATEDIF(DATEVALUE("2024-09-01"), DATEVALUE("2024-09-04"), "D")</f>
        <v/>
      </c>
      <c r="E26" s="5">
        <f>DATEDIF(B26, C26, "D")</f>
        <v/>
      </c>
    </row>
    <row r="27">
      <c r="A27" s="4" t="inlineStr">
        <is>
          <t>Puma Running Shoes</t>
        </is>
      </c>
      <c r="B27" s="8" t="inlineStr">
        <is>
          <t>2024-09-05</t>
        </is>
      </c>
      <c r="C27" s="8" t="inlineStr">
        <is>
          <t>2024-09-11</t>
        </is>
      </c>
      <c r="D27" s="9">
        <f>DATEDIF(DATEVALUE("2024-09-05"), DATEVALUE("2024-09-11"), "D")</f>
        <v/>
      </c>
      <c r="E27" s="5">
        <f>DATEDIF(B27, C27, "D")</f>
        <v/>
      </c>
    </row>
    <row r="28">
      <c r="A28" s="4" t="inlineStr">
        <is>
          <t>Fastrack Smartwatch</t>
        </is>
      </c>
      <c r="B28" s="8" t="inlineStr">
        <is>
          <t>2024-09-08</t>
        </is>
      </c>
      <c r="C28" s="8" t="inlineStr">
        <is>
          <t>2024-09-12</t>
        </is>
      </c>
      <c r="D28" s="9">
        <f>DATEDIF(DATEVALUE("2024-09-08"), DATEVALUE("2024-09-12"), "D")</f>
        <v/>
      </c>
      <c r="E28" s="5">
        <f>DATEDIF(B28, C28, "D")</f>
        <v/>
      </c>
    </row>
    <row r="29">
      <c r="A29" s="4" t="inlineStr">
        <is>
          <t>HP Wireless Mouse</t>
        </is>
      </c>
      <c r="B29" s="8" t="inlineStr">
        <is>
          <t>2024-09-10</t>
        </is>
      </c>
      <c r="C29" s="8" t="inlineStr">
        <is>
          <t>2024-09-15</t>
        </is>
      </c>
      <c r="D29" s="9">
        <f>DATEDIF(DATEVALUE("2024-09-10"), DATEVALUE("2024-09-15"), "D")</f>
        <v/>
      </c>
      <c r="E29" s="5">
        <f>DATEDIF(B29, C29, "D")</f>
        <v/>
      </c>
    </row>
    <row r="30">
      <c r="A30" s="4" t="inlineStr">
        <is>
          <t>Realme Powerbank</t>
        </is>
      </c>
      <c r="B30" s="8" t="inlineStr">
        <is>
          <t>2024-09-12</t>
        </is>
      </c>
      <c r="C30" s="8" t="inlineStr">
        <is>
          <t>2024-09-18</t>
        </is>
      </c>
      <c r="D30" s="9">
        <f>DATEDIF(DATEVALUE("2024-09-12"), DATEVALUE("2024-09-18"), "D")</f>
        <v/>
      </c>
      <c r="E30" s="5">
        <f>DATEDIF(B30, C30, "D")</f>
        <v/>
      </c>
    </row>
    <row r="32">
      <c r="A32" s="2" t="inlineStr">
        <is>
          <t>Task 5: Spotify Usage in Months using EOMONTH() and DATEDIF()</t>
        </is>
      </c>
    </row>
    <row r="33">
      <c r="A33" s="3" t="inlineStr">
        <is>
          <t>Spotify User / Plan</t>
        </is>
      </c>
      <c r="B33" s="3" t="inlineStr">
        <is>
          <t>Signup Date</t>
        </is>
      </c>
      <c r="C33" s="3" t="inlineStr">
        <is>
          <t>Last Day of Current Month (=EOMONTH)</t>
        </is>
      </c>
      <c r="D33" s="3" t="inlineStr">
        <is>
          <t>Total Months Used (DATEDIF)</t>
        </is>
      </c>
      <c r="E33" s="3" t="inlineStr">
        <is>
          <t>Formula Applied</t>
        </is>
      </c>
    </row>
    <row r="34">
      <c r="A34" s="4" t="inlineStr">
        <is>
          <t>Premium Individual</t>
        </is>
      </c>
      <c r="B34" s="8" t="inlineStr">
        <is>
          <t>2022-01-15</t>
        </is>
      </c>
      <c r="C34" s="10">
        <f>EOMONTH(TODAY(), 0)</f>
        <v/>
      </c>
      <c r="D34" s="9">
        <f>DATEDIF(DATEVALUE("2022-01-15"), C34, "M")</f>
        <v/>
      </c>
      <c r="E34" s="5">
        <f>DATEDIF(B34, EOMONTH(TODAY(), 0), "M")</f>
        <v/>
      </c>
    </row>
    <row r="35">
      <c r="A35" s="4" t="inlineStr">
        <is>
          <t>Student Plan</t>
        </is>
      </c>
      <c r="B35" s="8" t="inlineStr">
        <is>
          <t>2023-06-10</t>
        </is>
      </c>
      <c r="C35" s="10">
        <f>EOMONTH(TODAY(), 0)</f>
        <v/>
      </c>
      <c r="D35" s="9">
        <f>DATEDIF(DATEVALUE("2023-06-10"), C35, "M")</f>
        <v/>
      </c>
      <c r="E35" s="5">
        <f>DATEDIF(B35, EOMONTH(TODAY(), 0), "M")</f>
        <v/>
      </c>
    </row>
    <row r="36">
      <c r="A36" s="4" t="inlineStr">
        <is>
          <t>Family Plan</t>
        </is>
      </c>
      <c r="B36" s="8" t="inlineStr">
        <is>
          <t>2021-08-01</t>
        </is>
      </c>
      <c r="C36" s="10">
        <f>EOMONTH(TODAY(), 0)</f>
        <v/>
      </c>
      <c r="D36" s="9">
        <f>DATEDIF(DATEVALUE("2021-08-01"), C36, "M")</f>
        <v/>
      </c>
      <c r="E36" s="5">
        <f>DATEDIF(B36, EOMONTH(TODAY(), 0), "M")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2026-09-24T18:35:07Z</dcterms:created>
  <dcterms:modified xmlns:dcterms="http://purl.org/dc/terms/" xmlns:xsi="http://www.w3.org/2001/XMLSchema-instance" xsi:type="dcterms:W3CDTF">2026-09-24T18:35:07Z</dcterms:modified>
</cp:coreProperties>
</file>