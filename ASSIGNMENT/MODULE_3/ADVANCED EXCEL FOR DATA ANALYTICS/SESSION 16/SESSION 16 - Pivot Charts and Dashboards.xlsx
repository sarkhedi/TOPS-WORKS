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TOPS-WORKS\ASSIGNMENT\MODULE_3\ADVANCED EXCEL FOR DATA ANALYTICS\SESSION 16\"/>
    </mc:Choice>
  </mc:AlternateContent>
  <xr:revisionPtr revIDLastSave="0" documentId="13_ncr:1_{AD278F2A-4B2B-4821-BBA6-41AC590021D5}" xr6:coauthVersionLast="47" xr6:coauthVersionMax="47" xr10:uidLastSave="{00000000-0000-0000-0000-000000000000}"/>
  <bookViews>
    <workbookView xWindow="-108" yWindow="-108" windowWidth="23256" windowHeight="12456" firstSheet="1" activeTab="4" xr2:uid="{00000000-000D-0000-FFFF-FFFF00000000}"/>
  </bookViews>
  <sheets>
    <sheet name="Task 1 - Pivot Summary" sheetId="1" r:id="rId1"/>
    <sheet name="Task 2 - Bar Pivot Chart" sheetId="2" r:id="rId2"/>
    <sheet name="Task 3 - Slicer Filtering" sheetId="3" r:id="rId3"/>
    <sheet name="Task 4 - Pie Pivot Chart" sheetId="4" r:id="rId4"/>
    <sheet name="Task 5 - Sales Dashboard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6" i="5" l="1"/>
  <c r="C16" i="5"/>
  <c r="B16" i="5"/>
  <c r="B13" i="4"/>
  <c r="C12" i="4" s="1"/>
  <c r="C10" i="4"/>
  <c r="C9" i="4"/>
  <c r="C6" i="4"/>
  <c r="C5" i="4"/>
  <c r="C13" i="1"/>
  <c r="D13" i="1" s="1"/>
  <c r="B13" i="1"/>
  <c r="D12" i="1"/>
  <c r="D11" i="1"/>
  <c r="D10" i="1"/>
  <c r="D9" i="1"/>
  <c r="D8" i="1"/>
  <c r="D7" i="1"/>
  <c r="D6" i="1"/>
  <c r="D5" i="1"/>
  <c r="C7" i="4" l="1"/>
  <c r="C13" i="4" s="1"/>
  <c r="C11" i="4"/>
  <c r="C8" i="4"/>
</calcChain>
</file>

<file path=xl/sharedStrings.xml><?xml version="1.0" encoding="utf-8"?>
<sst xmlns="http://schemas.openxmlformats.org/spreadsheetml/2006/main" count="226" uniqueCount="106">
  <si>
    <t>Task 1: Food Delivery Dataset &amp; Pivot Table (Total Sales per Restaurant)</t>
  </si>
  <si>
    <t>Pivot Table: Total Sales by Restaurant</t>
  </si>
  <si>
    <t>Raw Orders Dataset (120 Daily Records)</t>
  </si>
  <si>
    <t>Restaurant Name</t>
  </si>
  <si>
    <t>Total Orders</t>
  </si>
  <si>
    <t>Total Sales (₹)</t>
  </si>
  <si>
    <t>Average Order (₹)</t>
  </si>
  <si>
    <t>Order ID</t>
  </si>
  <si>
    <t>Date</t>
  </si>
  <si>
    <t>Month</t>
  </si>
  <si>
    <t>City</t>
  </si>
  <si>
    <t>Amount (₹)</t>
  </si>
  <si>
    <t>Subway</t>
  </si>
  <si>
    <t>ZOM-2015</t>
  </si>
  <si>
    <t>2024-01-06</t>
  </si>
  <si>
    <t>January</t>
  </si>
  <si>
    <t>Delhi</t>
  </si>
  <si>
    <t>Behrouz Biryani</t>
  </si>
  <si>
    <t>ZOM-2042</t>
  </si>
  <si>
    <t>2024-01-07</t>
  </si>
  <si>
    <t>McDonalds</t>
  </si>
  <si>
    <t>Mumbai</t>
  </si>
  <si>
    <t>La Pinoz Pizza</t>
  </si>
  <si>
    <t>ZOM-2061</t>
  </si>
  <si>
    <t>2024-01-10</t>
  </si>
  <si>
    <t>Vadodara</t>
  </si>
  <si>
    <t>ZOM-2095</t>
  </si>
  <si>
    <t>2024-01-16</t>
  </si>
  <si>
    <t>Burger King</t>
  </si>
  <si>
    <t>ZOM-2040</t>
  </si>
  <si>
    <t>2024-01-17</t>
  </si>
  <si>
    <t>Gordhan Thal</t>
  </si>
  <si>
    <t>ZOM-2005</t>
  </si>
  <si>
    <t>2024-01-19</t>
  </si>
  <si>
    <t>Ahmedabad</t>
  </si>
  <si>
    <t>Honest Restaurant</t>
  </si>
  <si>
    <t>ZOM-2056</t>
  </si>
  <si>
    <t>Bangalore</t>
  </si>
  <si>
    <t>Mirch Masala</t>
  </si>
  <si>
    <t>ZOM-2021</t>
  </si>
  <si>
    <t>2024-01-22</t>
  </si>
  <si>
    <t>Grand Total</t>
  </si>
  <si>
    <t>ZOM-2029</t>
  </si>
  <si>
    <t>2024-01-24</t>
  </si>
  <si>
    <t>ZOM-2081</t>
  </si>
  <si>
    <t>ZOM-2059</t>
  </si>
  <si>
    <t>2024-01-25</t>
  </si>
  <si>
    <t>ZOM-2094</t>
  </si>
  <si>
    <t>2024-01-26</t>
  </si>
  <si>
    <t>ZOM-2085</t>
  </si>
  <si>
    <t>2024-01-27</t>
  </si>
  <si>
    <t>ZOM-2099</t>
  </si>
  <si>
    <t>ZOM-2057</t>
  </si>
  <si>
    <t>2024-01-28</t>
  </si>
  <si>
    <t>ZOM-2090</t>
  </si>
  <si>
    <t>ZOM-2011</t>
  </si>
  <si>
    <t>2024-01-29</t>
  </si>
  <si>
    <t>ZOM-2031</t>
  </si>
  <si>
    <t>ZOM-2065</t>
  </si>
  <si>
    <t>ZOM-2023</t>
  </si>
  <si>
    <t>2024-01-31</t>
  </si>
  <si>
    <t>ZOM-2064</t>
  </si>
  <si>
    <t>2024-02-02</t>
  </si>
  <si>
    <t>February</t>
  </si>
  <si>
    <t>ZOM-2120</t>
  </si>
  <si>
    <t>ZOM-2037</t>
  </si>
  <si>
    <t>2024-02-04</t>
  </si>
  <si>
    <t>ZOM-2092</t>
  </si>
  <si>
    <t>ZOM-2093</t>
  </si>
  <si>
    <t>... [120 Total Orders stored in master data]</t>
  </si>
  <si>
    <t>Task 2: Bar / Column Pivot Chart Comparing Restaurant Sales</t>
  </si>
  <si>
    <t>Pivot Data Source for Bar Chart</t>
  </si>
  <si>
    <t>📌 Chart Formatting &amp; Design Applied:</t>
  </si>
  <si>
    <t>• Clear axis titles and readable labels.</t>
  </si>
  <si>
    <t>• Sorted in descending order to highlight market leader immediately.</t>
  </si>
  <si>
    <t>Task 3: Pivot Table &amp; Chart with Month Slicer Filtering</t>
  </si>
  <si>
    <t>🎛️ Month Slicer (Filter Performance by Month)</t>
  </si>
  <si>
    <t>All Months</t>
  </si>
  <si>
    <t>January (Selected ✓)</t>
  </si>
  <si>
    <t>March</t>
  </si>
  <si>
    <t>April</t>
  </si>
  <si>
    <t>May</t>
  </si>
  <si>
    <t>June</t>
  </si>
  <si>
    <t>Filtered Pivot Table: January Performance</t>
  </si>
  <si>
    <t>January Orders</t>
  </si>
  <si>
    <t>January Sales (₹)</t>
  </si>
  <si>
    <t>Task 4: Pie Pivot Chart Displaying Revenue Share (Value &amp; % Labels)</t>
  </si>
  <si>
    <t>Market Share Data Source</t>
  </si>
  <si>
    <t>Market Share %</t>
  </si>
  <si>
    <t>Total Market</t>
  </si>
  <si>
    <t>📌 How to Show Value &amp; % in Excel Pie Chart:</t>
  </si>
  <si>
    <t>1. Right-click the Pie slices -&gt; "Add Data Labels".</t>
  </si>
  <si>
    <t>2. Right-click any label -&gt; "Format Data Labels...".</t>
  </si>
  <si>
    <t>3. Check BOTH "Value" and "Percentage" boxes.</t>
  </si>
  <si>
    <t>EXECUTIVE FOOD DELIVERY DASHBOARD: MONTHLY SALES TRENDS (TOP 3 RESTAURANTS)</t>
  </si>
  <si>
    <t>Total Revenue</t>
  </si>
  <si>
    <t>Avg Order Value</t>
  </si>
  <si>
    <t>#1 Top Brand</t>
  </si>
  <si>
    <t>₹112,701</t>
  </si>
  <si>
    <t>120 Orders</t>
  </si>
  <si>
    <t>₹939</t>
  </si>
  <si>
    <t>🎛️ Active Slicer Filters:</t>
  </si>
  <si>
    <t>[City: All Cities]</t>
  </si>
  <si>
    <t>[Platform: Zomato &amp; Swiggy]</t>
  </si>
  <si>
    <t>Monthly Trend Table (Top 3 Brands)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</si>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</sst>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₹#,##0"/>
    <numFmt numFmtId="165" formatCode="\₹#,##0.0"/>
    <numFmt numFmtId="166" formatCode="0.0%"/>
  </numFmts>
  <fonts count="11" x14ac:knownFonts="1">
    <font>
      <sz val="11"/>
      <color theme="1"/>
      <name val="Calibri"/>
      <family val="2"/>
      <scheme val="minor"/>
    </font>
    <font>
      <b/>
      <sz val="15"/>
      <color rgb="FFFFFFFF"/>
      <name val="Calibri"/>
      <family val="2"/>
    </font>
    <font>
      <b/>
      <sz val="13"/>
      <color rgb="FF1F4E78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i/>
      <sz val="10"/>
      <color rgb="FF595959"/>
      <name val="Calibri"/>
      <family val="2"/>
    </font>
    <font>
      <b/>
      <sz val="11"/>
      <color rgb="FF2F5597"/>
      <name val="Calibri"/>
      <family val="2"/>
    </font>
    <font>
      <sz val="10"/>
      <color rgb="FF595959"/>
      <name val="Calibri"/>
      <family val="2"/>
    </font>
    <font>
      <b/>
      <sz val="10"/>
      <color rgb="FFFFFFFF"/>
      <name val="Calibri"/>
      <family val="2"/>
    </font>
    <font>
      <b/>
      <sz val="10"/>
      <color rgb="FF595959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2F5597"/>
        <bgColor rgb="FF2F5597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</patternFill>
    </fill>
    <fill>
      <patternFill patternType="solid">
        <fgColor theme="7" tint="-0.499984740745262"/>
        <bgColor rgb="FF2F5597"/>
      </patternFill>
    </fill>
    <fill>
      <patternFill patternType="solid">
        <fgColor theme="5" tint="-0.499984740745262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4" fillId="0" borderId="1" xfId="0" applyFont="1" applyBorder="1"/>
    <xf numFmtId="0" fontId="5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right"/>
    </xf>
    <xf numFmtId="165" fontId="5" fillId="0" borderId="1" xfId="0" applyNumberFormat="1" applyFont="1" applyBorder="1" applyAlignment="1">
      <alignment horizontal="right"/>
    </xf>
    <xf numFmtId="0" fontId="5" fillId="0" borderId="1" xfId="0" applyFont="1" applyBorder="1"/>
    <xf numFmtId="164" fontId="5" fillId="0" borderId="1" xfId="0" applyNumberFormat="1" applyFont="1" applyBorder="1" applyAlignment="1">
      <alignment horizontal="right"/>
    </xf>
    <xf numFmtId="0" fontId="4" fillId="3" borderId="1" xfId="0" applyFont="1" applyFill="1" applyBorder="1"/>
    <xf numFmtId="0" fontId="4" fillId="3" borderId="1" xfId="0" applyFont="1" applyFill="1" applyBorder="1" applyAlignment="1">
      <alignment horizontal="center"/>
    </xf>
    <xf numFmtId="164" fontId="4" fillId="3" borderId="1" xfId="0" applyNumberFormat="1" applyFont="1" applyFill="1" applyBorder="1" applyAlignment="1">
      <alignment horizontal="right"/>
    </xf>
    <xf numFmtId="165" fontId="4" fillId="3" borderId="1" xfId="0" applyNumberFormat="1" applyFont="1" applyFill="1" applyBorder="1" applyAlignment="1">
      <alignment horizontal="right"/>
    </xf>
    <xf numFmtId="0" fontId="6" fillId="0" borderId="0" xfId="0" applyFont="1"/>
    <xf numFmtId="0" fontId="3" fillId="2" borderId="1" xfId="0" applyFont="1" applyFill="1" applyBorder="1"/>
    <xf numFmtId="0" fontId="4" fillId="0" borderId="0" xfId="0" applyFont="1"/>
    <xf numFmtId="0" fontId="7" fillId="0" borderId="0" xfId="0" applyFont="1"/>
    <xf numFmtId="0" fontId="8" fillId="5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166" fontId="4" fillId="0" borderId="1" xfId="0" applyNumberFormat="1" applyFont="1" applyBorder="1" applyAlignment="1">
      <alignment horizontal="center"/>
    </xf>
    <xf numFmtId="166" fontId="4" fillId="3" borderId="1" xfId="0" applyNumberFormat="1" applyFont="1" applyFill="1" applyBorder="1" applyAlignment="1">
      <alignment horizontal="center"/>
    </xf>
    <xf numFmtId="0" fontId="6" fillId="6" borderId="0" xfId="0" applyFont="1" applyFill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Total Sales per Restaurant (Bar Chart Comparison)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'Task 2 - Bar Pivot Chart'!$B$4</c:f>
              <c:strCache>
                <c:ptCount val="1"/>
                <c:pt idx="0">
                  <c:v>Total Sales (₹)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'Task 2 - Bar Pivot Chart'!$A$5:$A$12</c:f>
              <c:strCache>
                <c:ptCount val="8"/>
                <c:pt idx="0">
                  <c:v>Subway</c:v>
                </c:pt>
                <c:pt idx="1">
                  <c:v>Behrouz Biryani</c:v>
                </c:pt>
                <c:pt idx="2">
                  <c:v>La Pinoz Pizza</c:v>
                </c:pt>
                <c:pt idx="3">
                  <c:v>McDonalds</c:v>
                </c:pt>
                <c:pt idx="4">
                  <c:v>Burger King</c:v>
                </c:pt>
                <c:pt idx="5">
                  <c:v>Gordhan Thal</c:v>
                </c:pt>
                <c:pt idx="6">
                  <c:v>Honest Restaurant</c:v>
                </c:pt>
                <c:pt idx="7">
                  <c:v>Mirch Masala</c:v>
                </c:pt>
              </c:strCache>
            </c:strRef>
          </c:cat>
          <c:val>
            <c:numRef>
              <c:f>'Task 2 - Bar Pivot Chart'!$B$5:$B$12</c:f>
              <c:numCache>
                <c:formatCode>\₹#,##0</c:formatCode>
                <c:ptCount val="8"/>
                <c:pt idx="0">
                  <c:v>17709</c:v>
                </c:pt>
                <c:pt idx="1">
                  <c:v>17484</c:v>
                </c:pt>
                <c:pt idx="2">
                  <c:v>16309</c:v>
                </c:pt>
                <c:pt idx="3">
                  <c:v>15124</c:v>
                </c:pt>
                <c:pt idx="4">
                  <c:v>14852</c:v>
                </c:pt>
                <c:pt idx="5">
                  <c:v>11319</c:v>
                </c:pt>
                <c:pt idx="6">
                  <c:v>11117</c:v>
                </c:pt>
                <c:pt idx="7">
                  <c:v>8787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3B-433A-842A-CD9E95C75A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Restaurant Name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Total Revenue in ₹</a:t>
                </a:r>
              </a:p>
            </c:rich>
          </c:tx>
          <c:overlay val="1"/>
        </c:title>
        <c:numFmt formatCode="\₹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1"/>
  <c:chart>
    <c:title>
      <c:tx>
        <c:rich>
          <a:bodyPr/>
          <a:lstStyle/>
          <a:p>
            <a:pPr>
              <a:defRPr/>
            </a:pPr>
            <a:r>
              <a:rPr lang="en-IN"/>
              <a:t>Filtered Sales for Month: January (via Slicer)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'Task 3 - Slicer Filtering'!$C$7</c:f>
              <c:strCache>
                <c:ptCount val="1"/>
                <c:pt idx="0">
                  <c:v>January Sales (₹)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'Task 3 - Slicer Filtering'!$A$8:$A$15</c:f>
              <c:strCache>
                <c:ptCount val="8"/>
                <c:pt idx="0">
                  <c:v>Subway</c:v>
                </c:pt>
                <c:pt idx="1">
                  <c:v>Behrouz Biryani</c:v>
                </c:pt>
                <c:pt idx="2">
                  <c:v>La Pinoz Pizza</c:v>
                </c:pt>
                <c:pt idx="3">
                  <c:v>McDonalds</c:v>
                </c:pt>
                <c:pt idx="4">
                  <c:v>Burger King</c:v>
                </c:pt>
                <c:pt idx="5">
                  <c:v>Gordhan Thal</c:v>
                </c:pt>
                <c:pt idx="6">
                  <c:v>Honest Restaurant</c:v>
                </c:pt>
                <c:pt idx="7">
                  <c:v>Mirch Masala</c:v>
                </c:pt>
              </c:strCache>
            </c:strRef>
          </c:cat>
          <c:val>
            <c:numRef>
              <c:f>'Task 3 - Slicer Filtering'!$C$8:$C$15</c:f>
              <c:numCache>
                <c:formatCode>\₹#,##0</c:formatCode>
                <c:ptCount val="8"/>
                <c:pt idx="0">
                  <c:v>1922</c:v>
                </c:pt>
                <c:pt idx="1">
                  <c:v>3259</c:v>
                </c:pt>
                <c:pt idx="2">
                  <c:v>2515</c:v>
                </c:pt>
                <c:pt idx="3">
                  <c:v>4128</c:v>
                </c:pt>
                <c:pt idx="4">
                  <c:v>3411</c:v>
                </c:pt>
                <c:pt idx="5">
                  <c:v>1623</c:v>
                </c:pt>
                <c:pt idx="6">
                  <c:v>365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CF-4A3D-88CD-0F0CC1796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January Sales (₹)</a:t>
                </a:r>
              </a:p>
            </c:rich>
          </c:tx>
          <c:overlay val="1"/>
        </c:title>
        <c:numFmt formatCode="\₹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Percentage Share of Total Sales per Restaurant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'Task 4 - Pie Pivot Chart'!$B$4</c:f>
              <c:strCache>
                <c:ptCount val="1"/>
                <c:pt idx="0">
                  <c:v>Total Sales (₹)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'Task 4 - Pie Pivot Chart'!$A$5:$A$12</c:f>
              <c:strCache>
                <c:ptCount val="8"/>
                <c:pt idx="0">
                  <c:v>Subway</c:v>
                </c:pt>
                <c:pt idx="1">
                  <c:v>Behrouz Biryani</c:v>
                </c:pt>
                <c:pt idx="2">
                  <c:v>La Pinoz Pizza</c:v>
                </c:pt>
                <c:pt idx="3">
                  <c:v>McDonalds</c:v>
                </c:pt>
                <c:pt idx="4">
                  <c:v>Burger King</c:v>
                </c:pt>
                <c:pt idx="5">
                  <c:v>Gordhan Thal</c:v>
                </c:pt>
                <c:pt idx="6">
                  <c:v>Honest Restaurant</c:v>
                </c:pt>
                <c:pt idx="7">
                  <c:v>Mirch Masala</c:v>
                </c:pt>
              </c:strCache>
            </c:strRef>
          </c:cat>
          <c:val>
            <c:numRef>
              <c:f>'Task 4 - Pie Pivot Chart'!$B$5:$B$12</c:f>
              <c:numCache>
                <c:formatCode>\₹#,##0</c:formatCode>
                <c:ptCount val="8"/>
                <c:pt idx="0">
                  <c:v>17709</c:v>
                </c:pt>
                <c:pt idx="1">
                  <c:v>17484</c:v>
                </c:pt>
                <c:pt idx="2">
                  <c:v>16309</c:v>
                </c:pt>
                <c:pt idx="3">
                  <c:v>15124</c:v>
                </c:pt>
                <c:pt idx="4">
                  <c:v>14852</c:v>
                </c:pt>
                <c:pt idx="5">
                  <c:v>11319</c:v>
                </c:pt>
                <c:pt idx="6">
                  <c:v>11117</c:v>
                </c:pt>
                <c:pt idx="7">
                  <c:v>8787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BE-4432-A48C-CD2FE3E9DDD8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IN"/>
              <a:t>Monthly Sales Trend Comparison (Top 3 Restaurants)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'Task 5 - Sales Dashboard'!$B$9</c:f>
              <c:strCache>
                <c:ptCount val="1"/>
                <c:pt idx="0">
                  <c:v>Subway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'Task 5 - Sales Dashboard'!$A$10:$A$15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'Task 5 - Sales Dashboard'!$B$10:$B$15</c:f>
              <c:numCache>
                <c:formatCode>\₹#,##0</c:formatCode>
                <c:ptCount val="6"/>
                <c:pt idx="0">
                  <c:v>1922</c:v>
                </c:pt>
                <c:pt idx="1">
                  <c:v>4077</c:v>
                </c:pt>
                <c:pt idx="2">
                  <c:v>2908</c:v>
                </c:pt>
                <c:pt idx="3">
                  <c:v>891</c:v>
                </c:pt>
                <c:pt idx="4">
                  <c:v>5228</c:v>
                </c:pt>
                <c:pt idx="5">
                  <c:v>2683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DD8-46CA-A4C0-9420A67FF63C}"/>
            </c:ext>
          </c:extLst>
        </c:ser>
        <c:ser>
          <c:idx val="1"/>
          <c:order val="1"/>
          <c:tx>
            <c:strRef>
              <c:f>'Task 5 - Sales Dashboard'!$C$9</c:f>
              <c:strCache>
                <c:ptCount val="1"/>
                <c:pt idx="0">
                  <c:v>Behrouz Biryani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'Task 5 - Sales Dashboard'!$A$10:$A$15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'Task 5 - Sales Dashboard'!$C$10:$C$15</c:f>
              <c:numCache>
                <c:formatCode>\₹#,##0</c:formatCode>
                <c:ptCount val="6"/>
                <c:pt idx="0">
                  <c:v>3259</c:v>
                </c:pt>
                <c:pt idx="1">
                  <c:v>684</c:v>
                </c:pt>
                <c:pt idx="2">
                  <c:v>4902</c:v>
                </c:pt>
                <c:pt idx="3">
                  <c:v>2125</c:v>
                </c:pt>
                <c:pt idx="4">
                  <c:v>1730</c:v>
                </c:pt>
                <c:pt idx="5">
                  <c:v>4784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DD8-46CA-A4C0-9420A67FF63C}"/>
            </c:ext>
          </c:extLst>
        </c:ser>
        <c:ser>
          <c:idx val="2"/>
          <c:order val="2"/>
          <c:tx>
            <c:strRef>
              <c:f>'Task 5 - Sales Dashboard'!$D$9</c:f>
              <c:strCache>
                <c:ptCount val="1"/>
                <c:pt idx="0">
                  <c:v>La Pinoz Pizza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'Task 5 - Sales Dashboard'!$A$10:$A$15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'Task 5 - Sales Dashboard'!$D$10:$D$15</c:f>
              <c:numCache>
                <c:formatCode>\₹#,##0</c:formatCode>
                <c:ptCount val="6"/>
                <c:pt idx="0">
                  <c:v>2515</c:v>
                </c:pt>
                <c:pt idx="1">
                  <c:v>580</c:v>
                </c:pt>
                <c:pt idx="2">
                  <c:v>3892</c:v>
                </c:pt>
                <c:pt idx="3">
                  <c:v>1255</c:v>
                </c:pt>
                <c:pt idx="4">
                  <c:v>4977</c:v>
                </c:pt>
                <c:pt idx="5">
                  <c:v>3090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DD8-46CA-A4C0-9420A67FF6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 (2024)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Monthly Revenue (₹)</a:t>
                </a:r>
              </a:p>
            </c:rich>
          </c:tx>
          <c:overlay val="1"/>
        </c:title>
        <c:numFmt formatCode="\₹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3</xdr:row>
      <xdr:rowOff>0</xdr:rowOff>
    </xdr:from>
    <xdr:ext cx="792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6</xdr:row>
      <xdr:rowOff>0</xdr:rowOff>
    </xdr:from>
    <xdr:ext cx="6480000" cy="46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3</xdr:row>
      <xdr:rowOff>0</xdr:rowOff>
    </xdr:from>
    <xdr:ext cx="648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7</xdr:row>
      <xdr:rowOff>0</xdr:rowOff>
    </xdr:from>
    <xdr:ext cx="720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topLeftCell="B1" workbookViewId="0">
      <selection activeCell="I16" sqref="I16"/>
    </sheetView>
  </sheetViews>
  <sheetFormatPr defaultRowHeight="14.4" x14ac:dyDescent="0.3"/>
  <cols>
    <col min="1" max="1" width="75" customWidth="1"/>
    <col min="2" max="2" width="15" customWidth="1"/>
    <col min="3" max="3" width="18" customWidth="1"/>
    <col min="4" max="4" width="20" customWidth="1"/>
    <col min="5" max="5" width="14" customWidth="1"/>
    <col min="6" max="6" width="47" customWidth="1"/>
    <col min="7" max="8" width="14" customWidth="1"/>
    <col min="9" max="9" width="20" customWidth="1"/>
    <col min="10" max="11" width="14" customWidth="1"/>
  </cols>
  <sheetData>
    <row r="1" spans="1:11" ht="34.049999999999997" customHeight="1" x14ac:dyDescent="0.3">
      <c r="A1" s="24" t="s">
        <v>0</v>
      </c>
      <c r="B1" s="25"/>
      <c r="C1" s="25"/>
      <c r="D1" s="25"/>
      <c r="E1" s="25"/>
      <c r="F1" s="25"/>
      <c r="G1" s="25"/>
      <c r="H1" s="25"/>
    </row>
    <row r="3" spans="1:11" ht="17.399999999999999" x14ac:dyDescent="0.35">
      <c r="A3" s="1" t="s">
        <v>1</v>
      </c>
      <c r="F3" s="1" t="s">
        <v>2</v>
      </c>
    </row>
    <row r="4" spans="1:11" x14ac:dyDescent="0.3">
      <c r="A4" s="23" t="s">
        <v>3</v>
      </c>
      <c r="B4" s="23" t="s">
        <v>4</v>
      </c>
      <c r="C4" s="23" t="s">
        <v>5</v>
      </c>
      <c r="D4" s="23" t="s">
        <v>6</v>
      </c>
      <c r="F4" s="22" t="s">
        <v>7</v>
      </c>
      <c r="G4" s="22" t="s">
        <v>8</v>
      </c>
      <c r="H4" s="22" t="s">
        <v>9</v>
      </c>
      <c r="I4" s="22" t="s">
        <v>3</v>
      </c>
      <c r="J4" s="22" t="s">
        <v>10</v>
      </c>
      <c r="K4" s="22" t="s">
        <v>11</v>
      </c>
    </row>
    <row r="5" spans="1:11" x14ac:dyDescent="0.3">
      <c r="A5" s="3" t="s">
        <v>12</v>
      </c>
      <c r="B5" s="4">
        <v>18</v>
      </c>
      <c r="C5" s="5">
        <v>17709</v>
      </c>
      <c r="D5" s="6">
        <f t="shared" ref="D5:D13" si="0">C5/B5</f>
        <v>983.83333333333337</v>
      </c>
      <c r="F5" s="4" t="s">
        <v>13</v>
      </c>
      <c r="G5" s="4" t="s">
        <v>14</v>
      </c>
      <c r="H5" s="4" t="s">
        <v>15</v>
      </c>
      <c r="I5" s="7" t="s">
        <v>12</v>
      </c>
      <c r="J5" s="4" t="s">
        <v>16</v>
      </c>
      <c r="K5" s="8">
        <v>319</v>
      </c>
    </row>
    <row r="6" spans="1:11" x14ac:dyDescent="0.3">
      <c r="A6" s="3" t="s">
        <v>17</v>
      </c>
      <c r="B6" s="4">
        <v>18</v>
      </c>
      <c r="C6" s="5">
        <v>17484</v>
      </c>
      <c r="D6" s="6">
        <f t="shared" si="0"/>
        <v>971.33333333333337</v>
      </c>
      <c r="F6" s="4" t="s">
        <v>18</v>
      </c>
      <c r="G6" s="4" t="s">
        <v>19</v>
      </c>
      <c r="H6" s="4" t="s">
        <v>15</v>
      </c>
      <c r="I6" s="7" t="s">
        <v>20</v>
      </c>
      <c r="J6" s="4" t="s">
        <v>21</v>
      </c>
      <c r="K6" s="8">
        <v>1046</v>
      </c>
    </row>
    <row r="7" spans="1:11" x14ac:dyDescent="0.3">
      <c r="A7" s="3" t="s">
        <v>22</v>
      </c>
      <c r="B7" s="4">
        <v>17</v>
      </c>
      <c r="C7" s="5">
        <v>16309</v>
      </c>
      <c r="D7" s="6">
        <f t="shared" si="0"/>
        <v>959.35294117647061</v>
      </c>
      <c r="F7" s="4" t="s">
        <v>23</v>
      </c>
      <c r="G7" s="4" t="s">
        <v>24</v>
      </c>
      <c r="H7" s="4" t="s">
        <v>15</v>
      </c>
      <c r="I7" s="7" t="s">
        <v>22</v>
      </c>
      <c r="J7" s="4" t="s">
        <v>25</v>
      </c>
      <c r="K7" s="8">
        <v>1346</v>
      </c>
    </row>
    <row r="8" spans="1:11" x14ac:dyDescent="0.3">
      <c r="A8" s="3" t="s">
        <v>20</v>
      </c>
      <c r="B8" s="4">
        <v>16</v>
      </c>
      <c r="C8" s="5">
        <v>15124</v>
      </c>
      <c r="D8" s="6">
        <f t="shared" si="0"/>
        <v>945.25</v>
      </c>
      <c r="F8" s="4" t="s">
        <v>26</v>
      </c>
      <c r="G8" s="4" t="s">
        <v>27</v>
      </c>
      <c r="H8" s="4" t="s">
        <v>15</v>
      </c>
      <c r="I8" s="7" t="s">
        <v>20</v>
      </c>
      <c r="J8" s="4" t="s">
        <v>16</v>
      </c>
      <c r="K8" s="8">
        <v>1008</v>
      </c>
    </row>
    <row r="9" spans="1:11" x14ac:dyDescent="0.3">
      <c r="A9" s="3" t="s">
        <v>28</v>
      </c>
      <c r="B9" s="4">
        <v>17</v>
      </c>
      <c r="C9" s="5">
        <v>14852</v>
      </c>
      <c r="D9" s="6">
        <f t="shared" si="0"/>
        <v>873.64705882352939</v>
      </c>
      <c r="F9" s="4" t="s">
        <v>29</v>
      </c>
      <c r="G9" s="4" t="s">
        <v>30</v>
      </c>
      <c r="H9" s="4" t="s">
        <v>15</v>
      </c>
      <c r="I9" s="7" t="s">
        <v>22</v>
      </c>
      <c r="J9" s="4" t="s">
        <v>21</v>
      </c>
      <c r="K9" s="8">
        <v>546</v>
      </c>
    </row>
    <row r="10" spans="1:11" x14ac:dyDescent="0.3">
      <c r="A10" s="3" t="s">
        <v>31</v>
      </c>
      <c r="B10" s="4">
        <v>14</v>
      </c>
      <c r="C10" s="5">
        <v>11319</v>
      </c>
      <c r="D10" s="6">
        <f t="shared" si="0"/>
        <v>808.5</v>
      </c>
      <c r="F10" s="4" t="s">
        <v>32</v>
      </c>
      <c r="G10" s="4" t="s">
        <v>33</v>
      </c>
      <c r="H10" s="4" t="s">
        <v>15</v>
      </c>
      <c r="I10" s="7" t="s">
        <v>31</v>
      </c>
      <c r="J10" s="4" t="s">
        <v>34</v>
      </c>
      <c r="K10" s="8">
        <v>695</v>
      </c>
    </row>
    <row r="11" spans="1:11" x14ac:dyDescent="0.3">
      <c r="A11" s="3" t="s">
        <v>35</v>
      </c>
      <c r="B11" s="4">
        <v>12</v>
      </c>
      <c r="C11" s="5">
        <v>11117</v>
      </c>
      <c r="D11" s="6">
        <f t="shared" si="0"/>
        <v>926.41666666666663</v>
      </c>
      <c r="F11" s="4" t="s">
        <v>36</v>
      </c>
      <c r="G11" s="4" t="s">
        <v>33</v>
      </c>
      <c r="H11" s="4" t="s">
        <v>15</v>
      </c>
      <c r="I11" s="7" t="s">
        <v>28</v>
      </c>
      <c r="J11" s="4" t="s">
        <v>37</v>
      </c>
      <c r="K11" s="8">
        <v>1154</v>
      </c>
    </row>
    <row r="12" spans="1:11" x14ac:dyDescent="0.3">
      <c r="A12" s="3" t="s">
        <v>38</v>
      </c>
      <c r="B12" s="4">
        <v>8</v>
      </c>
      <c r="C12" s="5">
        <v>8787</v>
      </c>
      <c r="D12" s="6">
        <f t="shared" si="0"/>
        <v>1098.375</v>
      </c>
      <c r="F12" s="4" t="s">
        <v>39</v>
      </c>
      <c r="G12" s="4" t="s">
        <v>40</v>
      </c>
      <c r="H12" s="4" t="s">
        <v>15</v>
      </c>
      <c r="I12" s="7" t="s">
        <v>35</v>
      </c>
      <c r="J12" s="4" t="s">
        <v>34</v>
      </c>
      <c r="K12" s="8">
        <v>365</v>
      </c>
    </row>
    <row r="13" spans="1:11" x14ac:dyDescent="0.3">
      <c r="A13" s="9" t="s">
        <v>41</v>
      </c>
      <c r="B13" s="10">
        <f>SUM(B5:B12)</f>
        <v>120</v>
      </c>
      <c r="C13" s="11">
        <f>SUM(C5:C12)</f>
        <v>112701</v>
      </c>
      <c r="D13" s="12">
        <f t="shared" si="0"/>
        <v>939.17499999999995</v>
      </c>
      <c r="F13" s="4" t="s">
        <v>42</v>
      </c>
      <c r="G13" s="4" t="s">
        <v>43</v>
      </c>
      <c r="H13" s="4" t="s">
        <v>15</v>
      </c>
      <c r="I13" s="7" t="s">
        <v>31</v>
      </c>
      <c r="J13" s="4" t="s">
        <v>34</v>
      </c>
      <c r="K13" s="8">
        <v>615</v>
      </c>
    </row>
    <row r="14" spans="1:11" x14ac:dyDescent="0.3">
      <c r="F14" s="4" t="s">
        <v>44</v>
      </c>
      <c r="G14" s="4" t="s">
        <v>43</v>
      </c>
      <c r="H14" s="4" t="s">
        <v>15</v>
      </c>
      <c r="I14" s="7" t="s">
        <v>28</v>
      </c>
      <c r="J14" s="4" t="s">
        <v>34</v>
      </c>
      <c r="K14" s="8">
        <v>1060</v>
      </c>
    </row>
    <row r="15" spans="1:11" x14ac:dyDescent="0.3">
      <c r="F15" s="4" t="s">
        <v>45</v>
      </c>
      <c r="G15" s="4" t="s">
        <v>46</v>
      </c>
      <c r="H15" s="4" t="s">
        <v>15</v>
      </c>
      <c r="I15" s="7" t="s">
        <v>22</v>
      </c>
      <c r="J15" s="4" t="s">
        <v>21</v>
      </c>
      <c r="K15" s="8">
        <v>623</v>
      </c>
    </row>
    <row r="16" spans="1:11" x14ac:dyDescent="0.3">
      <c r="F16" s="4" t="s">
        <v>47</v>
      </c>
      <c r="G16" s="4" t="s">
        <v>48</v>
      </c>
      <c r="H16" s="4" t="s">
        <v>15</v>
      </c>
      <c r="I16" s="7" t="s">
        <v>20</v>
      </c>
      <c r="J16" s="4" t="s">
        <v>34</v>
      </c>
      <c r="K16" s="8">
        <v>1408</v>
      </c>
    </row>
    <row r="17" spans="6:11" x14ac:dyDescent="0.3">
      <c r="F17" s="4" t="s">
        <v>49</v>
      </c>
      <c r="G17" s="4" t="s">
        <v>50</v>
      </c>
      <c r="H17" s="4" t="s">
        <v>15</v>
      </c>
      <c r="I17" s="7" t="s">
        <v>28</v>
      </c>
      <c r="J17" s="4" t="s">
        <v>37</v>
      </c>
      <c r="K17" s="8">
        <v>1197</v>
      </c>
    </row>
    <row r="18" spans="6:11" x14ac:dyDescent="0.3">
      <c r="F18" s="4" t="s">
        <v>51</v>
      </c>
      <c r="G18" s="4" t="s">
        <v>50</v>
      </c>
      <c r="H18" s="4" t="s">
        <v>15</v>
      </c>
      <c r="I18" s="7" t="s">
        <v>17</v>
      </c>
      <c r="J18" s="4" t="s">
        <v>21</v>
      </c>
      <c r="K18" s="8">
        <v>822</v>
      </c>
    </row>
    <row r="19" spans="6:11" x14ac:dyDescent="0.3">
      <c r="F19" s="4" t="s">
        <v>52</v>
      </c>
      <c r="G19" s="4" t="s">
        <v>53</v>
      </c>
      <c r="H19" s="4" t="s">
        <v>15</v>
      </c>
      <c r="I19" s="7" t="s">
        <v>31</v>
      </c>
      <c r="J19" s="4" t="s">
        <v>34</v>
      </c>
      <c r="K19" s="8">
        <v>313</v>
      </c>
    </row>
    <row r="20" spans="6:11" x14ac:dyDescent="0.3">
      <c r="F20" s="4" t="s">
        <v>54</v>
      </c>
      <c r="G20" s="4" t="s">
        <v>53</v>
      </c>
      <c r="H20" s="4" t="s">
        <v>15</v>
      </c>
      <c r="I20" s="7" t="s">
        <v>17</v>
      </c>
      <c r="J20" s="4" t="s">
        <v>37</v>
      </c>
      <c r="K20" s="8">
        <v>885</v>
      </c>
    </row>
    <row r="21" spans="6:11" x14ac:dyDescent="0.3">
      <c r="F21" s="4" t="s">
        <v>55</v>
      </c>
      <c r="G21" s="4" t="s">
        <v>56</v>
      </c>
      <c r="H21" s="4" t="s">
        <v>15</v>
      </c>
      <c r="I21" s="7" t="s">
        <v>12</v>
      </c>
      <c r="J21" s="4" t="s">
        <v>16</v>
      </c>
      <c r="K21" s="8">
        <v>1108</v>
      </c>
    </row>
    <row r="22" spans="6:11" x14ac:dyDescent="0.3">
      <c r="F22" s="4" t="s">
        <v>57</v>
      </c>
      <c r="G22" s="4" t="s">
        <v>56</v>
      </c>
      <c r="H22" s="4" t="s">
        <v>15</v>
      </c>
      <c r="I22" s="7" t="s">
        <v>12</v>
      </c>
      <c r="J22" s="4" t="s">
        <v>21</v>
      </c>
      <c r="K22" s="8">
        <v>495</v>
      </c>
    </row>
    <row r="23" spans="6:11" x14ac:dyDescent="0.3">
      <c r="F23" s="4" t="s">
        <v>58</v>
      </c>
      <c r="G23" s="4" t="s">
        <v>56</v>
      </c>
      <c r="H23" s="4" t="s">
        <v>15</v>
      </c>
      <c r="I23" s="7" t="s">
        <v>17</v>
      </c>
      <c r="J23" s="4" t="s">
        <v>37</v>
      </c>
      <c r="K23" s="8">
        <v>1552</v>
      </c>
    </row>
    <row r="24" spans="6:11" x14ac:dyDescent="0.3">
      <c r="F24" s="4" t="s">
        <v>59</v>
      </c>
      <c r="G24" s="4" t="s">
        <v>60</v>
      </c>
      <c r="H24" s="4" t="s">
        <v>15</v>
      </c>
      <c r="I24" s="7" t="s">
        <v>20</v>
      </c>
      <c r="J24" s="4" t="s">
        <v>21</v>
      </c>
      <c r="K24" s="8">
        <v>666</v>
      </c>
    </row>
    <row r="25" spans="6:11" x14ac:dyDescent="0.3">
      <c r="F25" s="4" t="s">
        <v>61</v>
      </c>
      <c r="G25" s="4" t="s">
        <v>62</v>
      </c>
      <c r="H25" s="4" t="s">
        <v>63</v>
      </c>
      <c r="I25" s="7" t="s">
        <v>20</v>
      </c>
      <c r="J25" s="4" t="s">
        <v>21</v>
      </c>
      <c r="K25" s="8">
        <v>524</v>
      </c>
    </row>
    <row r="26" spans="6:11" x14ac:dyDescent="0.3">
      <c r="F26" s="4" t="s">
        <v>64</v>
      </c>
      <c r="G26" s="4" t="s">
        <v>62</v>
      </c>
      <c r="H26" s="4" t="s">
        <v>63</v>
      </c>
      <c r="I26" s="7" t="s">
        <v>35</v>
      </c>
      <c r="J26" s="4" t="s">
        <v>34</v>
      </c>
      <c r="K26" s="8">
        <v>464</v>
      </c>
    </row>
    <row r="27" spans="6:11" x14ac:dyDescent="0.3">
      <c r="F27" s="4" t="s">
        <v>65</v>
      </c>
      <c r="G27" s="4" t="s">
        <v>66</v>
      </c>
      <c r="H27" s="4" t="s">
        <v>63</v>
      </c>
      <c r="I27" s="7" t="s">
        <v>31</v>
      </c>
      <c r="J27" s="4" t="s">
        <v>34</v>
      </c>
      <c r="K27" s="8">
        <v>1007</v>
      </c>
    </row>
    <row r="28" spans="6:11" x14ac:dyDescent="0.3">
      <c r="F28" s="4" t="s">
        <v>67</v>
      </c>
      <c r="G28" s="4" t="s">
        <v>66</v>
      </c>
      <c r="H28" s="4" t="s">
        <v>63</v>
      </c>
      <c r="I28" s="7" t="s">
        <v>12</v>
      </c>
      <c r="J28" s="4" t="s">
        <v>37</v>
      </c>
      <c r="K28" s="8">
        <v>796</v>
      </c>
    </row>
    <row r="29" spans="6:11" x14ac:dyDescent="0.3">
      <c r="F29" s="4" t="s">
        <v>68</v>
      </c>
      <c r="G29" s="4" t="s">
        <v>66</v>
      </c>
      <c r="H29" s="4" t="s">
        <v>63</v>
      </c>
      <c r="I29" s="7" t="s">
        <v>20</v>
      </c>
      <c r="J29" s="4" t="s">
        <v>34</v>
      </c>
      <c r="K29" s="8">
        <v>1095</v>
      </c>
    </row>
    <row r="31" spans="6:11" x14ac:dyDescent="0.3">
      <c r="F31" s="13" t="s">
        <v>69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"/>
  <sheetViews>
    <sheetView workbookViewId="0">
      <selection sqref="A1:J1"/>
    </sheetView>
  </sheetViews>
  <sheetFormatPr defaultRowHeight="14.4" x14ac:dyDescent="0.3"/>
  <cols>
    <col min="1" max="1" width="71" customWidth="1"/>
    <col min="2" max="2" width="18" customWidth="1"/>
    <col min="3" max="10" width="14" customWidth="1"/>
  </cols>
  <sheetData>
    <row r="1" spans="1:10" ht="34.049999999999997" customHeight="1" x14ac:dyDescent="0.3">
      <c r="A1" s="24" t="s">
        <v>70</v>
      </c>
      <c r="B1" s="25"/>
      <c r="C1" s="25"/>
      <c r="D1" s="25"/>
      <c r="E1" s="25"/>
      <c r="F1" s="25"/>
      <c r="G1" s="25"/>
      <c r="H1" s="25"/>
      <c r="I1" s="25"/>
      <c r="J1" s="25"/>
    </row>
    <row r="3" spans="1:10" ht="17.399999999999999" x14ac:dyDescent="0.35">
      <c r="A3" s="1" t="s">
        <v>71</v>
      </c>
    </row>
    <row r="4" spans="1:10" x14ac:dyDescent="0.3">
      <c r="A4" s="14" t="s">
        <v>3</v>
      </c>
      <c r="B4" s="2" t="s">
        <v>5</v>
      </c>
    </row>
    <row r="5" spans="1:10" x14ac:dyDescent="0.3">
      <c r="A5" s="3" t="s">
        <v>12</v>
      </c>
      <c r="B5" s="8">
        <v>17709</v>
      </c>
    </row>
    <row r="6" spans="1:10" x14ac:dyDescent="0.3">
      <c r="A6" s="3" t="s">
        <v>17</v>
      </c>
      <c r="B6" s="8">
        <v>17484</v>
      </c>
    </row>
    <row r="7" spans="1:10" x14ac:dyDescent="0.3">
      <c r="A7" s="3" t="s">
        <v>22</v>
      </c>
      <c r="B7" s="8">
        <v>16309</v>
      </c>
    </row>
    <row r="8" spans="1:10" x14ac:dyDescent="0.3">
      <c r="A8" s="3" t="s">
        <v>20</v>
      </c>
      <c r="B8" s="8">
        <v>15124</v>
      </c>
    </row>
    <row r="9" spans="1:10" x14ac:dyDescent="0.3">
      <c r="A9" s="3" t="s">
        <v>28</v>
      </c>
      <c r="B9" s="8">
        <v>14852</v>
      </c>
    </row>
    <row r="10" spans="1:10" x14ac:dyDescent="0.3">
      <c r="A10" s="3" t="s">
        <v>31</v>
      </c>
      <c r="B10" s="8">
        <v>11319</v>
      </c>
    </row>
    <row r="11" spans="1:10" x14ac:dyDescent="0.3">
      <c r="A11" s="3" t="s">
        <v>35</v>
      </c>
      <c r="B11" s="8">
        <v>11117</v>
      </c>
    </row>
    <row r="12" spans="1:10" x14ac:dyDescent="0.3">
      <c r="A12" s="3" t="s">
        <v>38</v>
      </c>
      <c r="B12" s="8">
        <v>8787</v>
      </c>
    </row>
    <row r="15" spans="1:10" x14ac:dyDescent="0.3">
      <c r="A15" s="15" t="s">
        <v>72</v>
      </c>
    </row>
    <row r="16" spans="1:10" x14ac:dyDescent="0.3">
      <c r="A16" s="13" t="s">
        <v>73</v>
      </c>
    </row>
    <row r="17" spans="1:1" x14ac:dyDescent="0.3">
      <c r="A17" s="13" t="s">
        <v>74</v>
      </c>
    </row>
  </sheetData>
  <mergeCells count="1">
    <mergeCell ref="A1:J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5"/>
  <sheetViews>
    <sheetView topLeftCell="A11" workbookViewId="0">
      <selection activeCell="A9" sqref="A9"/>
    </sheetView>
  </sheetViews>
  <sheetFormatPr defaultRowHeight="14.4" x14ac:dyDescent="0.3"/>
  <cols>
    <col min="1" max="1" width="58" customWidth="1"/>
    <col min="2" max="2" width="23" customWidth="1"/>
    <col min="3" max="3" width="20" customWidth="1"/>
    <col min="4" max="10" width="14" customWidth="1"/>
  </cols>
  <sheetData>
    <row r="1" spans="1:10" ht="34.049999999999997" customHeight="1" x14ac:dyDescent="0.3">
      <c r="A1" s="24" t="s">
        <v>75</v>
      </c>
      <c r="B1" s="25"/>
      <c r="C1" s="25"/>
      <c r="D1" s="25"/>
      <c r="E1" s="25"/>
      <c r="F1" s="25"/>
      <c r="G1" s="25"/>
      <c r="H1" s="25"/>
      <c r="I1" s="25"/>
      <c r="J1" s="25"/>
    </row>
    <row r="3" spans="1:10" x14ac:dyDescent="0.3">
      <c r="A3" s="16" t="s">
        <v>76</v>
      </c>
    </row>
    <row r="4" spans="1:10" x14ac:dyDescent="0.3">
      <c r="A4" s="17" t="s">
        <v>77</v>
      </c>
      <c r="B4" s="18" t="s">
        <v>78</v>
      </c>
      <c r="C4" s="17" t="s">
        <v>63</v>
      </c>
      <c r="D4" s="17" t="s">
        <v>79</v>
      </c>
      <c r="E4" s="17" t="s">
        <v>80</v>
      </c>
      <c r="F4" s="17" t="s">
        <v>81</v>
      </c>
      <c r="G4" s="17" t="s">
        <v>82</v>
      </c>
    </row>
    <row r="6" spans="1:10" ht="17.399999999999999" x14ac:dyDescent="0.35">
      <c r="A6" s="1" t="s">
        <v>83</v>
      </c>
    </row>
    <row r="7" spans="1:10" x14ac:dyDescent="0.3">
      <c r="A7" s="14" t="s">
        <v>3</v>
      </c>
      <c r="B7" s="2" t="s">
        <v>84</v>
      </c>
      <c r="C7" s="2" t="s">
        <v>85</v>
      </c>
    </row>
    <row r="8" spans="1:10" x14ac:dyDescent="0.3">
      <c r="A8" s="3" t="s">
        <v>12</v>
      </c>
      <c r="B8" s="4">
        <v>3</v>
      </c>
      <c r="C8" s="5">
        <v>1922</v>
      </c>
    </row>
    <row r="9" spans="1:10" x14ac:dyDescent="0.3">
      <c r="A9" s="3" t="s">
        <v>17</v>
      </c>
      <c r="B9" s="4">
        <v>3</v>
      </c>
      <c r="C9" s="5">
        <v>3259</v>
      </c>
    </row>
    <row r="10" spans="1:10" x14ac:dyDescent="0.3">
      <c r="A10" s="3" t="s">
        <v>22</v>
      </c>
      <c r="B10" s="4">
        <v>3</v>
      </c>
      <c r="C10" s="5">
        <v>2515</v>
      </c>
    </row>
    <row r="11" spans="1:10" x14ac:dyDescent="0.3">
      <c r="A11" s="3" t="s">
        <v>20</v>
      </c>
      <c r="B11" s="4">
        <v>4</v>
      </c>
      <c r="C11" s="5">
        <v>4128</v>
      </c>
    </row>
    <row r="12" spans="1:10" x14ac:dyDescent="0.3">
      <c r="A12" s="3" t="s">
        <v>28</v>
      </c>
      <c r="B12" s="4">
        <v>3</v>
      </c>
      <c r="C12" s="5">
        <v>3411</v>
      </c>
    </row>
    <row r="13" spans="1:10" x14ac:dyDescent="0.3">
      <c r="A13" s="3" t="s">
        <v>31</v>
      </c>
      <c r="B13" s="4">
        <v>3</v>
      </c>
      <c r="C13" s="5">
        <v>1623</v>
      </c>
    </row>
    <row r="14" spans="1:10" x14ac:dyDescent="0.3">
      <c r="A14" s="3" t="s">
        <v>35</v>
      </c>
      <c r="B14" s="4">
        <v>1</v>
      </c>
      <c r="C14" s="5">
        <v>365</v>
      </c>
    </row>
    <row r="15" spans="1:10" x14ac:dyDescent="0.3">
      <c r="A15" s="3" t="s">
        <v>38</v>
      </c>
      <c r="B15" s="4">
        <v>0</v>
      </c>
      <c r="C15" s="5">
        <v>0</v>
      </c>
    </row>
  </sheetData>
  <mergeCells count="1">
    <mergeCell ref="A1:J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8"/>
  <sheetViews>
    <sheetView workbookViewId="0">
      <selection sqref="A1:J1"/>
    </sheetView>
  </sheetViews>
  <sheetFormatPr defaultRowHeight="14.4" x14ac:dyDescent="0.3"/>
  <cols>
    <col min="1" max="1" width="70" customWidth="1"/>
    <col min="2" max="2" width="18" customWidth="1"/>
    <col min="3" max="3" width="17" customWidth="1"/>
    <col min="4" max="10" width="14" customWidth="1"/>
  </cols>
  <sheetData>
    <row r="1" spans="1:10" ht="34.049999999999997" customHeight="1" x14ac:dyDescent="0.3">
      <c r="A1" s="24" t="s">
        <v>86</v>
      </c>
      <c r="B1" s="25"/>
      <c r="C1" s="25"/>
      <c r="D1" s="25"/>
      <c r="E1" s="25"/>
      <c r="F1" s="25"/>
      <c r="G1" s="25"/>
      <c r="H1" s="25"/>
      <c r="I1" s="25"/>
      <c r="J1" s="25"/>
    </row>
    <row r="3" spans="1:10" ht="17.399999999999999" x14ac:dyDescent="0.35">
      <c r="A3" s="1" t="s">
        <v>87</v>
      </c>
    </row>
    <row r="4" spans="1:10" x14ac:dyDescent="0.3">
      <c r="A4" s="14" t="s">
        <v>3</v>
      </c>
      <c r="B4" s="2" t="s">
        <v>5</v>
      </c>
      <c r="C4" s="2" t="s">
        <v>88</v>
      </c>
    </row>
    <row r="5" spans="1:10" x14ac:dyDescent="0.3">
      <c r="A5" s="3" t="s">
        <v>12</v>
      </c>
      <c r="B5" s="8">
        <v>17709</v>
      </c>
      <c r="C5" s="19">
        <f t="shared" ref="C5:C12" si="0">B5/$B$13</f>
        <v>0.15713258977293901</v>
      </c>
    </row>
    <row r="6" spans="1:10" x14ac:dyDescent="0.3">
      <c r="A6" s="3" t="s">
        <v>17</v>
      </c>
      <c r="B6" s="8">
        <v>17484</v>
      </c>
      <c r="C6" s="19">
        <f t="shared" si="0"/>
        <v>0.15513615673330317</v>
      </c>
    </row>
    <row r="7" spans="1:10" x14ac:dyDescent="0.3">
      <c r="A7" s="3" t="s">
        <v>22</v>
      </c>
      <c r="B7" s="8">
        <v>16309</v>
      </c>
      <c r="C7" s="19">
        <f t="shared" si="0"/>
        <v>0.14471033974853817</v>
      </c>
    </row>
    <row r="8" spans="1:10" x14ac:dyDescent="0.3">
      <c r="A8" s="3" t="s">
        <v>20</v>
      </c>
      <c r="B8" s="8">
        <v>15124</v>
      </c>
      <c r="C8" s="19">
        <f t="shared" si="0"/>
        <v>0.13419579240645602</v>
      </c>
    </row>
    <row r="9" spans="1:10" x14ac:dyDescent="0.3">
      <c r="A9" s="3" t="s">
        <v>28</v>
      </c>
      <c r="B9" s="8">
        <v>14852</v>
      </c>
      <c r="C9" s="19">
        <f t="shared" si="0"/>
        <v>0.13178232668742956</v>
      </c>
    </row>
    <row r="10" spans="1:10" x14ac:dyDescent="0.3">
      <c r="A10" s="3" t="s">
        <v>31</v>
      </c>
      <c r="B10" s="8">
        <v>11319</v>
      </c>
      <c r="C10" s="19">
        <f t="shared" si="0"/>
        <v>0.10043389144728086</v>
      </c>
    </row>
    <row r="11" spans="1:10" x14ac:dyDescent="0.3">
      <c r="A11" s="3" t="s">
        <v>35</v>
      </c>
      <c r="B11" s="8">
        <v>11117</v>
      </c>
      <c r="C11" s="19">
        <f t="shared" si="0"/>
        <v>9.8641538229474454E-2</v>
      </c>
    </row>
    <row r="12" spans="1:10" x14ac:dyDescent="0.3">
      <c r="A12" s="3" t="s">
        <v>38</v>
      </c>
      <c r="B12" s="8">
        <v>8787</v>
      </c>
      <c r="C12" s="19">
        <f t="shared" si="0"/>
        <v>7.7967364974578748E-2</v>
      </c>
    </row>
    <row r="13" spans="1:10" x14ac:dyDescent="0.3">
      <c r="A13" s="9" t="s">
        <v>89</v>
      </c>
      <c r="B13" s="11">
        <f>SUM(B5:B12)</f>
        <v>112701</v>
      </c>
      <c r="C13" s="20">
        <f>SUM(C5:C12)</f>
        <v>1</v>
      </c>
    </row>
    <row r="15" spans="1:10" x14ac:dyDescent="0.3">
      <c r="A15" s="15" t="s">
        <v>90</v>
      </c>
    </row>
    <row r="16" spans="1:10" x14ac:dyDescent="0.3">
      <c r="A16" s="13" t="s">
        <v>91</v>
      </c>
    </row>
    <row r="17" spans="1:1" x14ac:dyDescent="0.3">
      <c r="A17" s="13" t="s">
        <v>92</v>
      </c>
    </row>
    <row r="18" spans="1:1" x14ac:dyDescent="0.3">
      <c r="A18" s="13" t="s">
        <v>93</v>
      </c>
    </row>
  </sheetData>
  <mergeCells count="1">
    <mergeCell ref="A1:J1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6"/>
  <sheetViews>
    <sheetView tabSelected="1" topLeftCell="B12" workbookViewId="0">
      <selection sqref="A1:J1"/>
    </sheetView>
  </sheetViews>
  <sheetFormatPr defaultRowHeight="14.4" x14ac:dyDescent="0.3"/>
  <cols>
    <col min="1" max="1" width="78" customWidth="1"/>
    <col min="2" max="2" width="16" customWidth="1"/>
    <col min="3" max="3" width="21" customWidth="1"/>
    <col min="4" max="4" width="17" customWidth="1"/>
    <col min="5" max="5" width="30" customWidth="1"/>
    <col min="6" max="6" width="14" customWidth="1"/>
    <col min="7" max="7" width="15" customWidth="1"/>
    <col min="8" max="10" width="14" customWidth="1"/>
  </cols>
  <sheetData>
    <row r="1" spans="1:10" ht="34.049999999999997" customHeight="1" x14ac:dyDescent="0.3">
      <c r="A1" s="24" t="s">
        <v>94</v>
      </c>
      <c r="B1" s="25"/>
      <c r="C1" s="25"/>
      <c r="D1" s="25"/>
      <c r="E1" s="25"/>
      <c r="F1" s="25"/>
      <c r="G1" s="25"/>
      <c r="H1" s="25"/>
      <c r="I1" s="25"/>
      <c r="J1" s="25"/>
    </row>
    <row r="3" spans="1:10" x14ac:dyDescent="0.3">
      <c r="A3" s="27" t="s">
        <v>95</v>
      </c>
      <c r="B3" s="25"/>
      <c r="C3" s="27" t="s">
        <v>4</v>
      </c>
      <c r="D3" s="25"/>
      <c r="E3" s="27" t="s">
        <v>96</v>
      </c>
      <c r="F3" s="25"/>
      <c r="G3" s="27" t="s">
        <v>97</v>
      </c>
      <c r="H3" s="25"/>
    </row>
    <row r="4" spans="1:10" ht="17.399999999999999" x14ac:dyDescent="0.3">
      <c r="A4" s="26" t="s">
        <v>98</v>
      </c>
      <c r="B4" s="25"/>
      <c r="C4" s="26" t="s">
        <v>99</v>
      </c>
      <c r="D4" s="25"/>
      <c r="E4" s="26" t="s">
        <v>100</v>
      </c>
      <c r="F4" s="25"/>
      <c r="G4" s="26" t="s">
        <v>12</v>
      </c>
      <c r="H4" s="25"/>
    </row>
    <row r="6" spans="1:10" x14ac:dyDescent="0.3">
      <c r="A6" s="15" t="s">
        <v>101</v>
      </c>
      <c r="C6" s="21" t="s">
        <v>102</v>
      </c>
      <c r="E6" s="21" t="s">
        <v>103</v>
      </c>
    </row>
    <row r="8" spans="1:10" ht="17.399999999999999" x14ac:dyDescent="0.35">
      <c r="A8" s="1" t="s">
        <v>104</v>
      </c>
    </row>
    <row r="9" spans="1:10" x14ac:dyDescent="0.3">
      <c r="A9" s="2" t="s">
        <v>9</v>
      </c>
      <c r="B9" s="2" t="s">
        <v>12</v>
      </c>
      <c r="C9" s="2" t="s">
        <v>17</v>
      </c>
      <c r="D9" s="2" t="s">
        <v>22</v>
      </c>
    </row>
    <row r="10" spans="1:10" x14ac:dyDescent="0.3">
      <c r="A10" s="3" t="s">
        <v>15</v>
      </c>
      <c r="B10" s="8">
        <v>1922</v>
      </c>
      <c r="C10" s="8">
        <v>3259</v>
      </c>
      <c r="D10" s="8">
        <v>2515</v>
      </c>
    </row>
    <row r="11" spans="1:10" x14ac:dyDescent="0.3">
      <c r="A11" s="3" t="s">
        <v>63</v>
      </c>
      <c r="B11" s="8">
        <v>4077</v>
      </c>
      <c r="C11" s="8">
        <v>684</v>
      </c>
      <c r="D11" s="8">
        <v>580</v>
      </c>
    </row>
    <row r="12" spans="1:10" x14ac:dyDescent="0.3">
      <c r="A12" s="3" t="s">
        <v>79</v>
      </c>
      <c r="B12" s="8">
        <v>2908</v>
      </c>
      <c r="C12" s="8">
        <v>4902</v>
      </c>
      <c r="D12" s="8">
        <v>3892</v>
      </c>
    </row>
    <row r="13" spans="1:10" x14ac:dyDescent="0.3">
      <c r="A13" s="3" t="s">
        <v>80</v>
      </c>
      <c r="B13" s="8">
        <v>891</v>
      </c>
      <c r="C13" s="8">
        <v>2125</v>
      </c>
      <c r="D13" s="8">
        <v>1255</v>
      </c>
    </row>
    <row r="14" spans="1:10" x14ac:dyDescent="0.3">
      <c r="A14" s="3" t="s">
        <v>81</v>
      </c>
      <c r="B14" s="8">
        <v>5228</v>
      </c>
      <c r="C14" s="8">
        <v>1730</v>
      </c>
      <c r="D14" s="8">
        <v>4977</v>
      </c>
    </row>
    <row r="15" spans="1:10" x14ac:dyDescent="0.3">
      <c r="A15" s="3" t="s">
        <v>82</v>
      </c>
      <c r="B15" s="8">
        <v>2683</v>
      </c>
      <c r="C15" s="8">
        <v>4784</v>
      </c>
      <c r="D15" s="8">
        <v>3090</v>
      </c>
    </row>
    <row r="16" spans="1:10" x14ac:dyDescent="0.3">
      <c r="A16" s="9" t="s">
        <v>105</v>
      </c>
      <c r="B16" s="11">
        <f>SUM(B10:B15)</f>
        <v>17709</v>
      </c>
      <c r="C16" s="11">
        <f>SUM(C10:C15)</f>
        <v>17484</v>
      </c>
      <c r="D16" s="11">
        <f>SUM(D10:D15)</f>
        <v>16309</v>
      </c>
    </row>
  </sheetData>
  <mergeCells count="9">
    <mergeCell ref="A4:B4"/>
    <mergeCell ref="G4:H4"/>
    <mergeCell ref="A1:J1"/>
    <mergeCell ref="E4:F4"/>
    <mergeCell ref="C3:D3"/>
    <mergeCell ref="A3:B3"/>
    <mergeCell ref="G3:H3"/>
    <mergeCell ref="E3:F3"/>
    <mergeCell ref="C4:D4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 1 - Pivot Summary</vt:lpstr>
      <vt:lpstr>Task 2 - Bar Pivot Chart</vt:lpstr>
      <vt:lpstr>Task 3 - Slicer Filtering</vt:lpstr>
      <vt:lpstr>Task 4 - Pie Pivot Chart</vt:lpstr>
      <vt:lpstr>Task 5 - Sales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Sarkhedi Mahek Sureshbhai</cp:lastModifiedBy>
  <dcterms:created xsi:type="dcterms:W3CDTF">2026-10-01T07:18:09Z</dcterms:created>
  <dcterms:modified xsi:type="dcterms:W3CDTF">2026-10-02T15:51:28Z</dcterms:modified>
</cp:coreProperties>
</file>