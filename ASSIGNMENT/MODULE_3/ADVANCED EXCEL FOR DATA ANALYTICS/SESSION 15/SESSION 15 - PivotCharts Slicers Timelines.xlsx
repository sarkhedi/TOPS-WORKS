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3f283b6372641a8/Documents/SESSION 15/"/>
    </mc:Choice>
  </mc:AlternateContent>
  <xr:revisionPtr revIDLastSave="5" documentId="11_FE2FD293586D5C07B423AD2ADA3C2C0421B2098C" xr6:coauthVersionLast="47" xr6:coauthVersionMax="47" xr10:uidLastSave="{F827C0F6-2976-4359-8AFA-21F391D6E947}"/>
  <bookViews>
    <workbookView xWindow="-110" yWindow="-110" windowWidth="19420" windowHeight="11020" xr2:uid="{00000000-000D-0000-FFFF-FFFF00000000}"/>
  </bookViews>
  <sheets>
    <sheet name="Executive Dashboard" sheetId="1" r:id="rId1"/>
    <sheet name="Task 1-3 - Matches &amp; Slicers" sheetId="2" r:id="rId2"/>
    <sheet name="Task 5 - Wins Per Year" sheetId="3" r:id="rId3"/>
    <sheet name="IPL Raw Dataset" sheetId="4" r:id="rId4"/>
    <sheet name="Trainer Coverage &amp; Guid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3" l="1"/>
  <c r="C15" i="3"/>
  <c r="B15" i="3"/>
  <c r="E15" i="3" s="1"/>
  <c r="D14" i="3"/>
  <c r="C14" i="3"/>
  <c r="B14" i="3"/>
  <c r="E14" i="3" s="1"/>
  <c r="D13" i="3"/>
  <c r="C13" i="3"/>
  <c r="B13" i="3"/>
  <c r="E13" i="3" s="1"/>
  <c r="D12" i="3"/>
  <c r="C12" i="3"/>
  <c r="B12" i="3"/>
  <c r="E12" i="3" s="1"/>
  <c r="D11" i="3"/>
  <c r="C11" i="3"/>
  <c r="B11" i="3"/>
  <c r="E11" i="3" s="1"/>
  <c r="D10" i="3"/>
  <c r="C10" i="3"/>
  <c r="B10" i="3"/>
  <c r="E10" i="3" s="1"/>
  <c r="D9" i="3"/>
  <c r="C9" i="3"/>
  <c r="B9" i="3"/>
  <c r="E9" i="3" s="1"/>
  <c r="D8" i="3"/>
  <c r="C8" i="3"/>
  <c r="B8" i="3"/>
  <c r="E8" i="3" s="1"/>
  <c r="D7" i="3"/>
  <c r="C7" i="3"/>
  <c r="B7" i="3"/>
  <c r="E7" i="3" s="1"/>
  <c r="D6" i="3"/>
  <c r="D16" i="3" s="1"/>
  <c r="C6" i="3"/>
  <c r="C16" i="3" s="1"/>
  <c r="B6" i="3"/>
  <c r="E6" i="3" s="1"/>
  <c r="B15" i="2"/>
  <c r="B14" i="2"/>
  <c r="B13" i="2"/>
  <c r="B12" i="2"/>
  <c r="B11" i="2"/>
  <c r="B10" i="2"/>
  <c r="B9" i="2"/>
  <c r="B8" i="2"/>
  <c r="B7" i="2"/>
  <c r="B6" i="2"/>
  <c r="F25" i="1"/>
  <c r="E25" i="1"/>
  <c r="F24" i="1"/>
  <c r="F26" i="1" s="1"/>
  <c r="E24" i="1"/>
  <c r="E26" i="1" s="1"/>
  <c r="F23" i="1"/>
  <c r="E23" i="1"/>
  <c r="F18" i="1"/>
  <c r="E18" i="1"/>
  <c r="F17" i="1"/>
  <c r="E17" i="1"/>
  <c r="F16" i="1"/>
  <c r="E16" i="1"/>
  <c r="F15" i="1"/>
  <c r="E15" i="1"/>
  <c r="F14" i="1"/>
  <c r="E14" i="1"/>
  <c r="F13" i="1"/>
  <c r="E13" i="1"/>
  <c r="F12" i="1"/>
  <c r="E12" i="1"/>
  <c r="F11" i="1"/>
  <c r="E11" i="1"/>
  <c r="F10" i="1"/>
  <c r="E10" i="1"/>
  <c r="F9" i="1"/>
  <c r="E9" i="1"/>
  <c r="E19" i="1" l="1"/>
  <c r="F19" i="1"/>
  <c r="C10" i="2"/>
  <c r="C14" i="2"/>
  <c r="C7" i="2"/>
  <c r="C15" i="2"/>
  <c r="C8" i="2"/>
  <c r="C12" i="2"/>
  <c r="E16" i="3"/>
  <c r="C9" i="2"/>
  <c r="C13" i="2"/>
  <c r="B16" i="3"/>
  <c r="B16" i="2"/>
  <c r="C6" i="2" s="1"/>
  <c r="C11" i="2" l="1"/>
  <c r="C16" i="2" s="1"/>
</calcChain>
</file>

<file path=xl/sharedStrings.xml><?xml version="1.0" encoding="utf-8"?>
<sst xmlns="http://schemas.openxmlformats.org/spreadsheetml/2006/main" count="978" uniqueCount="355">
  <si>
    <t>IPL ANALYTICS EXECUTIVE DASHBOARD — PIVOTCHARTS &amp; LINKED SLICERS</t>
  </si>
  <si>
    <t>Dynamic Multi-Chart Executive Dashboard Linked to Venue Slicer &amp; Match Date Timeline</t>
  </si>
  <si>
    <t>🏏 TOTAL MATCHES</t>
  </si>
  <si>
    <t>🏆 TOTAL WINS RECORDED</t>
  </si>
  <si>
    <t>🏟️ UNIQUE STADIUMS</t>
  </si>
  <si>
    <t>📅 SEASONS ANALYZED</t>
  </si>
  <si>
    <t>120 Matches</t>
  </si>
  <si>
    <t>58 Wins</t>
  </si>
  <si>
    <t>6 Venues</t>
  </si>
  <si>
    <t>2022 - 2024</t>
  </si>
  <si>
    <t>📍 VENUE SLICER (Filter)</t>
  </si>
  <si>
    <t>Pivot 1: Total Wins by Team (Linked)</t>
  </si>
  <si>
    <t>✓ [All Venues / Stadiums]</t>
  </si>
  <si>
    <t>Team Name</t>
  </si>
  <si>
    <t>Total Matches</t>
  </si>
  <si>
    <t>Matches Won</t>
  </si>
  <si>
    <t xml:space="preserve">  Narendra Modi Stadium, Ahmedabad</t>
  </si>
  <si>
    <t>Sunrisers Hyderabad</t>
  </si>
  <si>
    <t xml:space="preserve">  Wankhede Stadium, Mumbai</t>
  </si>
  <si>
    <t>Chennai Super Kings</t>
  </si>
  <si>
    <t xml:space="preserve">  Eden Gardens, Kolkata</t>
  </si>
  <si>
    <t>Rajasthan Royals</t>
  </si>
  <si>
    <t xml:space="preserve">  M. Chinnaswamy Stadium, Bengaluru</t>
  </si>
  <si>
    <t>Lucknow Super Giants</t>
  </si>
  <si>
    <t xml:space="preserve">  MA Chidambaram Stadium, Chennai</t>
  </si>
  <si>
    <t>Royal Challengers Bengaluru</t>
  </si>
  <si>
    <t xml:space="preserve">  Arun Jaitley Stadium, Delhi</t>
  </si>
  <si>
    <t>Kolkata Knight Riders</t>
  </si>
  <si>
    <t>Punjab Kings</t>
  </si>
  <si>
    <t>⏱️ TIMELINE SLICER (Match Date)</t>
  </si>
  <si>
    <t>Gujarat Titans</t>
  </si>
  <si>
    <t>✓ [All Seasons: 2022 - 2024]</t>
  </si>
  <si>
    <t>Delhi Capitals</t>
  </si>
  <si>
    <t xml:space="preserve">  Season 2022 (March - May)</t>
  </si>
  <si>
    <t>Mumbai Indians</t>
  </si>
  <si>
    <t xml:space="preserve">  Season 2023 (March - May)</t>
  </si>
  <si>
    <t>Grand Total</t>
  </si>
  <si>
    <t xml:space="preserve">  Season 2024 (March - May)</t>
  </si>
  <si>
    <t xml:space="preserve">  Monthly View: March</t>
  </si>
  <si>
    <t>Pivot 2: Matches Played Over Time (Linked)</t>
  </si>
  <si>
    <t xml:space="preserve">  Monthly View: April</t>
  </si>
  <si>
    <t>Month / Timeline</t>
  </si>
  <si>
    <t>Matches Played</t>
  </si>
  <si>
    <t>Wins Count</t>
  </si>
  <si>
    <t xml:space="preserve">  Monthly View: May</t>
  </si>
  <si>
    <t>March</t>
  </si>
  <si>
    <t>April</t>
  </si>
  <si>
    <t>May</t>
  </si>
  <si>
    <t>TASKS 1 TO 3: IPL PIVOTCHART + VENUE SLICER + TIMELINE</t>
  </si>
  <si>
    <t>Task 1: Total Matches by Team | Task 2: Venue Slicer | Task 3: Match Date Timeline</t>
  </si>
  <si>
    <t>PivotTable: Total Matches Played by Each Team</t>
  </si>
  <si>
    <t>% Share of Matches</t>
  </si>
  <si>
    <t>📌 Task 2: Add Venue Slicer Instructions</t>
  </si>
  <si>
    <t>1. Click anywhere inside the PivotTable or PivotChart above.</t>
  </si>
  <si>
    <t>2. Go to Excel Ribbon -&gt; PivotChart Analyze -&gt; "Insert Slicer".</t>
  </si>
  <si>
    <t>3. Check "Venue" and click OK. Filter by stadiums like Narendra Modi Stadium or Wankhede!</t>
  </si>
  <si>
    <t>📌 Task 3: Insert Match Date Timeline Instructions</t>
  </si>
  <si>
    <t>1. Click on the PivotTable or PivotChart.</t>
  </si>
  <si>
    <t>2. Go to PivotChart Analyze -&gt; "Insert Timeline".</t>
  </si>
  <si>
    <t>3. Select "Match Date" (Excel timeline only works on true Date fields).</t>
  </si>
  <si>
    <t>4. Change filter scale to "Months" or "Years" to analyze team performance across IPL seasons!</t>
  </si>
  <si>
    <t>TASK 5: MATCHES WON PER TEAM PER YEAR &amp; TOP PERFORMER HIGHLIGHT</t>
  </si>
  <si>
    <t>PivotChart of Wins by Year with Visual &amp; Conditional Formatting Emphasizing Top Winners</t>
  </si>
  <si>
    <t>PivotTable: Matches Won by Each Team per Year (2022 - 2024)</t>
  </si>
  <si>
    <t>2022 Wins</t>
  </si>
  <si>
    <t>2023 Wins</t>
  </si>
  <si>
    <t>2024 Wins</t>
  </si>
  <si>
    <t>Total Wins</t>
  </si>
  <si>
    <t>Championship / Top Performer Status</t>
  </si>
  <si>
    <t>⭐ 2022 Champion &amp; Top Wins</t>
  </si>
  <si>
    <t>⭐ 2023 Champion &amp; Top Wins</t>
  </si>
  <si>
    <t>Contender</t>
  </si>
  <si>
    <t>⭐ 2024 Champion &amp; Top Wins</t>
  </si>
  <si>
    <t>💡 Trainer Hint &amp; Value Filter Steps:</t>
  </si>
  <si>
    <t>• Value Filter: In PivotTable, click Team filter arrow -&gt; Value Filters -&gt; Top 10...</t>
  </si>
  <si>
    <t>• Set to: Show Top 1 Items by "2022 Wins" (or 2023 / 2024) to isolate the champion!</t>
  </si>
  <si>
    <t>• Chart Formatting: Double-click the winning team bar in the chart and change fill color to Gold/Orange.</t>
  </si>
  <si>
    <t>• Result: Gujarat Titans (2022), CSK (2023), and KKR (2024) stand out immediately.</t>
  </si>
  <si>
    <t>IPL MATCHES MASTER DATASET (2022 - 2024)</t>
  </si>
  <si>
    <t>Curated dataset with Match Date, Season, Month, Teams, Venue, Result, Wins, and Match Stats</t>
  </si>
  <si>
    <t>Match ID</t>
  </si>
  <si>
    <t>Match Date</t>
  </si>
  <si>
    <t>Season</t>
  </si>
  <si>
    <t>Month</t>
  </si>
  <si>
    <t>Team</t>
  </si>
  <si>
    <t>Opponent</t>
  </si>
  <si>
    <t>Venue</t>
  </si>
  <si>
    <t>Result</t>
  </si>
  <si>
    <t>Wins</t>
  </si>
  <si>
    <t>Matches</t>
  </si>
  <si>
    <t>Runs Scored</t>
  </si>
  <si>
    <t>Wickets Taken</t>
  </si>
  <si>
    <t>IPL-2022-101</t>
  </si>
  <si>
    <t>2022-03-26</t>
  </si>
  <si>
    <t>Arun Jaitley Stadium, Delhi</t>
  </si>
  <si>
    <t>Lost</t>
  </si>
  <si>
    <t>IPL-2022-102</t>
  </si>
  <si>
    <t>2022-03-28</t>
  </si>
  <si>
    <t>Narendra Modi Stadium, Ahmedabad</t>
  </si>
  <si>
    <t>IPL-2022-103</t>
  </si>
  <si>
    <t>2022-03-30</t>
  </si>
  <si>
    <t>Wankhede Stadium, Mumbai</t>
  </si>
  <si>
    <t>Won</t>
  </si>
  <si>
    <t>IPL-2022-104</t>
  </si>
  <si>
    <t>2022-04-01</t>
  </si>
  <si>
    <t>IPL-2022-105</t>
  </si>
  <si>
    <t>2022-04-03</t>
  </si>
  <si>
    <t>Eden Gardens, Kolkata</t>
  </si>
  <si>
    <t>IPL-2022-106</t>
  </si>
  <si>
    <t>2022-04-05</t>
  </si>
  <si>
    <t>IPL-2022-107</t>
  </si>
  <si>
    <t>2022-04-07</t>
  </si>
  <si>
    <t>IPL-2022-108</t>
  </si>
  <si>
    <t>2022-04-09</t>
  </si>
  <si>
    <t>MA Chidambaram Stadium, Chennai</t>
  </si>
  <si>
    <t>IPL-2022-109</t>
  </si>
  <si>
    <t>2022-04-11</t>
  </si>
  <si>
    <t>IPL-2022-110</t>
  </si>
  <si>
    <t>2022-04-13</t>
  </si>
  <si>
    <t>M. Chinnaswamy Stadium, Bengaluru</t>
  </si>
  <si>
    <t>IPL-2022-111</t>
  </si>
  <si>
    <t>2022-04-15</t>
  </si>
  <si>
    <t>IPL-2022-112</t>
  </si>
  <si>
    <t>2022-04-17</t>
  </si>
  <si>
    <t>IPL-2022-113</t>
  </si>
  <si>
    <t>2022-04-19</t>
  </si>
  <si>
    <t>IPL-2022-114</t>
  </si>
  <si>
    <t>2022-04-21</t>
  </si>
  <si>
    <t>IPL-2022-115</t>
  </si>
  <si>
    <t>2022-04-23</t>
  </si>
  <si>
    <t>IPL-2022-116</t>
  </si>
  <si>
    <t>2022-04-25</t>
  </si>
  <si>
    <t>IPL-2022-117</t>
  </si>
  <si>
    <t>2022-04-27</t>
  </si>
  <si>
    <t>IPL-2022-118</t>
  </si>
  <si>
    <t>2022-04-29</t>
  </si>
  <si>
    <t>IPL-2022-119</t>
  </si>
  <si>
    <t>2022-05-01</t>
  </si>
  <si>
    <t>IPL-2022-120</t>
  </si>
  <si>
    <t>2022-05-03</t>
  </si>
  <si>
    <t>IPL-2022-121</t>
  </si>
  <si>
    <t>2022-05-05</t>
  </si>
  <si>
    <t>IPL-2022-122</t>
  </si>
  <si>
    <t>2022-05-07</t>
  </si>
  <si>
    <t>IPL-2022-123</t>
  </si>
  <si>
    <t>2022-05-09</t>
  </si>
  <si>
    <t>IPL-2022-124</t>
  </si>
  <si>
    <t>2022-05-11</t>
  </si>
  <si>
    <t>IPL-2022-125</t>
  </si>
  <si>
    <t>2022-05-13</t>
  </si>
  <si>
    <t>IPL-2022-126</t>
  </si>
  <si>
    <t>2022-05-15</t>
  </si>
  <si>
    <t>IPL-2022-127</t>
  </si>
  <si>
    <t>2022-05-17</t>
  </si>
  <si>
    <t>IPL-2022-128</t>
  </si>
  <si>
    <t>2022-05-19</t>
  </si>
  <si>
    <t>IPL-2022-129</t>
  </si>
  <si>
    <t>2022-05-21</t>
  </si>
  <si>
    <t>IPL-2022-130</t>
  </si>
  <si>
    <t>2022-05-23</t>
  </si>
  <si>
    <t>IPL-2022-131</t>
  </si>
  <si>
    <t>2022-05-25</t>
  </si>
  <si>
    <t>IPL-2022-132</t>
  </si>
  <si>
    <t>2022-05-27</t>
  </si>
  <si>
    <t>IPL-2022-133</t>
  </si>
  <si>
    <t>2022-05-29</t>
  </si>
  <si>
    <t>IPL-2022-134</t>
  </si>
  <si>
    <t>2022-05-31</t>
  </si>
  <si>
    <t>IPL-2022-135</t>
  </si>
  <si>
    <t>2022-06-02</t>
  </si>
  <si>
    <t>June</t>
  </si>
  <si>
    <t>IPL-2022-136</t>
  </si>
  <si>
    <t>2022-06-04</t>
  </si>
  <si>
    <t>IPL-2022-137</t>
  </si>
  <si>
    <t>2022-06-06</t>
  </si>
  <si>
    <t>IPL-2022-138</t>
  </si>
  <si>
    <t>2022-06-08</t>
  </si>
  <si>
    <t>IPL-2022-139</t>
  </si>
  <si>
    <t>2022-06-10</t>
  </si>
  <si>
    <t>IPL-2022-140</t>
  </si>
  <si>
    <t>2022-06-12</t>
  </si>
  <si>
    <t>IPL-2023-141</t>
  </si>
  <si>
    <t>2023-03-31</t>
  </si>
  <si>
    <t>IPL-2023-142</t>
  </si>
  <si>
    <t>2023-04-02</t>
  </si>
  <si>
    <t>IPL-2023-143</t>
  </si>
  <si>
    <t>2023-04-04</t>
  </si>
  <si>
    <t>IPL-2023-144</t>
  </si>
  <si>
    <t>2023-04-06</t>
  </si>
  <si>
    <t>IPL-2023-145</t>
  </si>
  <si>
    <t>2023-04-08</t>
  </si>
  <si>
    <t>IPL-2023-146</t>
  </si>
  <si>
    <t>2023-04-10</t>
  </si>
  <si>
    <t>IPL-2023-147</t>
  </si>
  <si>
    <t>2023-04-12</t>
  </si>
  <si>
    <t>IPL-2023-148</t>
  </si>
  <si>
    <t>2023-04-14</t>
  </si>
  <si>
    <t>IPL-2023-149</t>
  </si>
  <si>
    <t>2023-04-16</t>
  </si>
  <si>
    <t>IPL-2023-150</t>
  </si>
  <si>
    <t>2023-04-18</t>
  </si>
  <si>
    <t>IPL-2023-151</t>
  </si>
  <si>
    <t>2023-04-20</t>
  </si>
  <si>
    <t>IPL-2023-152</t>
  </si>
  <si>
    <t>2023-04-22</t>
  </si>
  <si>
    <t>IPL-2023-153</t>
  </si>
  <si>
    <t>2023-04-24</t>
  </si>
  <si>
    <t>IPL-2023-154</t>
  </si>
  <si>
    <t>2023-04-26</t>
  </si>
  <si>
    <t>IPL-2023-155</t>
  </si>
  <si>
    <t>2023-04-28</t>
  </si>
  <si>
    <t>IPL-2023-156</t>
  </si>
  <si>
    <t>2023-04-30</t>
  </si>
  <si>
    <t>IPL-2023-157</t>
  </si>
  <si>
    <t>2023-05-02</t>
  </si>
  <si>
    <t>IPL-2023-158</t>
  </si>
  <si>
    <t>2023-05-04</t>
  </si>
  <si>
    <t>IPL-2023-159</t>
  </si>
  <si>
    <t>2023-05-06</t>
  </si>
  <si>
    <t>IPL-2023-160</t>
  </si>
  <si>
    <t>2023-05-08</t>
  </si>
  <si>
    <t>IPL-2023-161</t>
  </si>
  <si>
    <t>2023-05-10</t>
  </si>
  <si>
    <t>IPL-2023-162</t>
  </si>
  <si>
    <t>2023-05-12</t>
  </si>
  <si>
    <t>IPL-2023-163</t>
  </si>
  <si>
    <t>2023-05-14</t>
  </si>
  <si>
    <t>IPL-2023-164</t>
  </si>
  <si>
    <t>2023-05-16</t>
  </si>
  <si>
    <t>IPL-2023-165</t>
  </si>
  <si>
    <t>2023-05-18</t>
  </si>
  <si>
    <t>IPL-2023-166</t>
  </si>
  <si>
    <t>2023-05-20</t>
  </si>
  <si>
    <t>IPL-2023-167</t>
  </si>
  <si>
    <t>2023-05-22</t>
  </si>
  <si>
    <t>IPL-2023-168</t>
  </si>
  <si>
    <t>2023-05-24</t>
  </si>
  <si>
    <t>IPL-2023-169</t>
  </si>
  <si>
    <t>2023-05-26</t>
  </si>
  <si>
    <t>IPL-2023-170</t>
  </si>
  <si>
    <t>2023-05-28</t>
  </si>
  <si>
    <t>IPL-2023-171</t>
  </si>
  <si>
    <t>2023-05-30</t>
  </si>
  <si>
    <t>IPL-2023-172</t>
  </si>
  <si>
    <t>2023-06-01</t>
  </si>
  <si>
    <t>IPL-2023-173</t>
  </si>
  <si>
    <t>2023-06-03</t>
  </si>
  <si>
    <t>IPL-2023-174</t>
  </si>
  <si>
    <t>2023-06-05</t>
  </si>
  <si>
    <t>IPL-2023-175</t>
  </si>
  <si>
    <t>2023-06-07</t>
  </si>
  <si>
    <t>IPL-2023-176</t>
  </si>
  <si>
    <t>2023-06-09</t>
  </si>
  <si>
    <t>IPL-2023-177</t>
  </si>
  <si>
    <t>2023-06-11</t>
  </si>
  <si>
    <t>IPL-2023-178</t>
  </si>
  <si>
    <t>2023-06-13</t>
  </si>
  <si>
    <t>IPL-2023-179</t>
  </si>
  <si>
    <t>2023-06-15</t>
  </si>
  <si>
    <t>IPL-2023-180</t>
  </si>
  <si>
    <t>2023-06-17</t>
  </si>
  <si>
    <t>IPL-2024-181</t>
  </si>
  <si>
    <t>2024-03-22</t>
  </si>
  <si>
    <t>IPL-2024-182</t>
  </si>
  <si>
    <t>2024-03-24</t>
  </si>
  <si>
    <t>IPL-2024-183</t>
  </si>
  <si>
    <t>2024-03-26</t>
  </si>
  <si>
    <t>IPL-2024-184</t>
  </si>
  <si>
    <t>2024-03-28</t>
  </si>
  <si>
    <t>IPL-2024-185</t>
  </si>
  <si>
    <t>2024-03-30</t>
  </si>
  <si>
    <t>IPL-2024-186</t>
  </si>
  <si>
    <t>2024-04-01</t>
  </si>
  <si>
    <t>IPL-2024-187</t>
  </si>
  <si>
    <t>2024-04-03</t>
  </si>
  <si>
    <t>IPL-2024-188</t>
  </si>
  <si>
    <t>2024-04-05</t>
  </si>
  <si>
    <t>IPL-2024-189</t>
  </si>
  <si>
    <t>2024-04-07</t>
  </si>
  <si>
    <t>IPL-2024-190</t>
  </si>
  <si>
    <t>2024-04-09</t>
  </si>
  <si>
    <t>IPL-2024-191</t>
  </si>
  <si>
    <t>2024-04-11</t>
  </si>
  <si>
    <t>IPL-2024-192</t>
  </si>
  <si>
    <t>2024-04-13</t>
  </si>
  <si>
    <t>IPL-2024-193</t>
  </si>
  <si>
    <t>2024-04-15</t>
  </si>
  <si>
    <t>IPL-2024-194</t>
  </si>
  <si>
    <t>2024-04-17</t>
  </si>
  <si>
    <t>IPL-2024-195</t>
  </si>
  <si>
    <t>2024-04-19</t>
  </si>
  <si>
    <t>IPL-2024-196</t>
  </si>
  <si>
    <t>2024-04-21</t>
  </si>
  <si>
    <t>IPL-2024-197</t>
  </si>
  <si>
    <t>2024-04-23</t>
  </si>
  <si>
    <t>IPL-2024-198</t>
  </si>
  <si>
    <t>2024-04-25</t>
  </si>
  <si>
    <t>IPL-2024-199</t>
  </si>
  <si>
    <t>2024-04-27</t>
  </si>
  <si>
    <t>IPL-2024-200</t>
  </si>
  <si>
    <t>2024-04-29</t>
  </si>
  <si>
    <t>IPL-2024-201</t>
  </si>
  <si>
    <t>2024-05-01</t>
  </si>
  <si>
    <t>IPL-2024-202</t>
  </si>
  <si>
    <t>2024-05-03</t>
  </si>
  <si>
    <t>IPL-2024-203</t>
  </si>
  <si>
    <t>2024-05-05</t>
  </si>
  <si>
    <t>IPL-2024-204</t>
  </si>
  <si>
    <t>2024-05-07</t>
  </si>
  <si>
    <t>IPL-2024-205</t>
  </si>
  <si>
    <t>2024-05-09</t>
  </si>
  <si>
    <t>IPL-2024-206</t>
  </si>
  <si>
    <t>2024-05-11</t>
  </si>
  <si>
    <t>IPL-2024-207</t>
  </si>
  <si>
    <t>2024-05-13</t>
  </si>
  <si>
    <t>IPL-2024-208</t>
  </si>
  <si>
    <t>2024-05-15</t>
  </si>
  <si>
    <t>IPL-2024-209</t>
  </si>
  <si>
    <t>2024-05-17</t>
  </si>
  <si>
    <t>IPL-2024-210</t>
  </si>
  <si>
    <t>2024-05-19</t>
  </si>
  <si>
    <t>IPL-2024-211</t>
  </si>
  <si>
    <t>2024-05-21</t>
  </si>
  <si>
    <t>IPL-2024-212</t>
  </si>
  <si>
    <t>2024-05-23</t>
  </si>
  <si>
    <t>IPL-2024-213</t>
  </si>
  <si>
    <t>2024-05-25</t>
  </si>
  <si>
    <t>IPL-2024-214</t>
  </si>
  <si>
    <t>2024-05-27</t>
  </si>
  <si>
    <t>IPL-2024-215</t>
  </si>
  <si>
    <t>2024-05-29</t>
  </si>
  <si>
    <t>IPL-2024-216</t>
  </si>
  <si>
    <t>2024-05-31</t>
  </si>
  <si>
    <t>IPL-2024-217</t>
  </si>
  <si>
    <t>2024-06-02</t>
  </si>
  <si>
    <t>IPL-2024-218</t>
  </si>
  <si>
    <t>2024-06-04</t>
  </si>
  <si>
    <t>IPL-2024-219</t>
  </si>
  <si>
    <t>2024-06-06</t>
  </si>
  <si>
    <t>IPL-2024-220</t>
  </si>
  <si>
    <t>2024-06-08</t>
  </si>
  <si>
    <t>SESSION 15 TRAINING COVERAGE, CONCEPTS &amp; STEP-BY-STEP GUIDE</t>
  </si>
  <si>
    <t>Trainer Syllabus, Core Principles, Practical Instructions, and Interview FAQs</t>
  </si>
  <si>
    <t>1. Core Concept: PivotCharts vs Standard Charts</t>
  </si>
  <si>
    <t>• What is a PivotChart?
A PivotChart is directly tied to a PivotTable. Whenever the PivotTable is filtered, sorted, or recalculated, the PivotChart automatically updates in real time.
• Key Advantage:
Unlike static standard charts that require manual range adjustments, PivotCharts support interactive field filtering buttons directly on the chart canvas.</t>
  </si>
  <si>
    <t>2. Task 1: Building PivotChart for Total Matches</t>
  </si>
  <si>
    <t>• Steps to Create:
1. Select any cell in the 'IPL Raw Dataset'.
2. Navigate to Insert -&gt; PivotChart (or press Alt + F1).
3. Drag 'Team' to Axis (Categories) and 'Matches' to Values (Sum of Matches).
4. Format the chart with clean column styling and team data labels.</t>
  </si>
  <si>
    <t>3. Task 2: Adding &amp; Customizing Venue Slicers</t>
  </si>
  <si>
    <t>• Steps to Insert Slicer:
1. Select the PivotChart or PivotTable.
2. Go to PivotChart Analyze -&gt; Insert Slicer.
3. Check 'Venue' and click OK.
• Functionality:
Slicers provide one-click visual buttons for filtering. Selecting 'Narendra Modi Stadium' instantly isolates matches played in Ahmedabad without opening filter dropdowns.</t>
  </si>
  <si>
    <t>4. Task 3: Inserting a Timeline Slicer for Match Dates</t>
  </si>
  <si>
    <t>• Requirement:
Timelines require a genuine Date data type in the source column.
• Steps to Insert Timeline:
1. Click the PivotChart -&gt; PivotChart Analyze -&gt; Insert Timeline.
2. Check 'Match Date' and click OK.
3. Use the level selector (Years, Quarters, Months, Days) to zoom in on specific IPL months (e.g. March vs April vs May).</t>
  </si>
  <si>
    <t>5. Task 4: Interactive Dashboard with Linked Slicers (Report Connections)</t>
  </si>
  <si>
    <t>• How to Link One Slicer to Multiple Charts/Tables:
1. Create PivotTable 1 (Total Wins) and PivotTable 2 (Matches Over Time).
2. Insert a Venue Slicer and Timeline Slicer from PivotTable 1.
3. Right-click the Slicer -&gt; select 'Report Connections...' (or 'PivotTable Connections').
4. Check the box for PivotTable 2 and click OK.
5. Now, a single click on any venue or season dynamically updates BOTH charts in tandem!</t>
  </si>
  <si>
    <t>6. Task 5: Emphasizing Top Performers (Value Filters &amp; Chart Highlights)</t>
  </si>
  <si>
    <t>• Isolating Top Winner via Value Filters:
1. In the Team Row Labels filter dropdown, select Value Filters -&gt; Top 10...
2. Change '10' to '1' and select 'Sum of Wins'.
3. Click OK to display only the #1 top franchise.
• Visual Emphasis:
Format the champion team bars (Gujarat Titans in 2022, CSK in 2023, KKR in 2024) in distinct Gold/Orange accents.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</si>
</sst>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4"/>
      <color rgb="FFFFFFFF"/>
      <name val="Calibri"/>
      <family val="2"/>
    </font>
    <font>
      <i/>
      <sz val="10"/>
      <color rgb="FFFFFFFF"/>
      <name val="Calibri"/>
      <family val="2"/>
    </font>
    <font>
      <b/>
      <sz val="10"/>
      <color rgb="FF595959"/>
      <name val="Calibri"/>
      <family val="2"/>
    </font>
    <font>
      <b/>
      <sz val="15"/>
      <color rgb="FF1F4E78"/>
      <name val="Calibri"/>
      <family val="2"/>
    </font>
    <font>
      <b/>
      <sz val="11"/>
      <color rgb="FFFFFFFF"/>
      <name val="Calibri"/>
      <family val="2"/>
    </font>
    <font>
      <b/>
      <sz val="10"/>
      <color rgb="FF1F4E78"/>
      <name val="Calibri"/>
      <family val="2"/>
    </font>
    <font>
      <sz val="10"/>
      <color rgb="FF333333"/>
      <name val="Calibri"/>
      <family val="2"/>
    </font>
    <font>
      <b/>
      <sz val="13"/>
      <color rgb="FF1F4E78"/>
      <name val="Calibri"/>
      <family val="2"/>
    </font>
    <font>
      <b/>
      <sz val="11"/>
      <name val="Calibri"/>
      <family val="2"/>
    </font>
    <font>
      <sz val="11"/>
      <name val="Calibri"/>
      <family val="2"/>
    </font>
    <font>
      <i/>
      <sz val="10"/>
      <color rgb="FF595959"/>
      <name val="Calibri"/>
      <family val="2"/>
    </font>
    <font>
      <b/>
      <sz val="11"/>
      <color rgb="FFB25900"/>
      <name val="Calibri"/>
      <family val="2"/>
    </font>
    <font>
      <b/>
      <sz val="12"/>
      <color rgb="FF1F4E78"/>
      <name val="Calibri"/>
      <family val="2"/>
    </font>
    <font>
      <sz val="10"/>
      <name val="Calibri"/>
      <family val="2"/>
    </font>
  </fonts>
  <fills count="9">
    <fill>
      <patternFill patternType="none"/>
    </fill>
    <fill>
      <patternFill patternType="gray125"/>
    </fill>
    <fill>
      <patternFill patternType="solid">
        <fgColor rgb="FF1F4E78"/>
        <bgColor rgb="FF1F4E78"/>
      </patternFill>
    </fill>
    <fill>
      <patternFill patternType="solid">
        <fgColor rgb="FF2F5597"/>
        <bgColor rgb="FF2F5597"/>
      </patternFill>
    </fill>
    <fill>
      <patternFill patternType="solid">
        <fgColor rgb="FFD9E1F2"/>
        <bgColor rgb="FFD9E1F2"/>
      </patternFill>
    </fill>
    <fill>
      <patternFill patternType="solid">
        <fgColor rgb="FFB4C6E7"/>
        <bgColor rgb="FFB4C6E7"/>
      </patternFill>
    </fill>
    <fill>
      <patternFill patternType="solid">
        <fgColor rgb="FFFFFFFF"/>
        <bgColor rgb="FFFFFFFF"/>
      </patternFill>
    </fill>
    <fill>
      <patternFill patternType="solid">
        <fgColor rgb="FFFFF2CC"/>
        <bgColor rgb="FFFFF2CC"/>
      </patternFill>
    </fill>
    <fill>
      <patternFill patternType="solid">
        <fgColor rgb="FFF9F9F9"/>
        <bgColor rgb="FFF9F9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8" fillId="0" borderId="0" xfId="0" applyFont="1"/>
    <xf numFmtId="0" fontId="5" fillId="2" borderId="1" xfId="0" applyFont="1" applyFill="1" applyBorder="1" applyAlignment="1">
      <alignment horizontal="center"/>
    </xf>
    <xf numFmtId="0" fontId="9" fillId="0" borderId="1" xfId="0" applyFont="1" applyBorder="1"/>
    <xf numFmtId="0" fontId="10" fillId="0" borderId="1" xfId="0" applyFont="1" applyBorder="1" applyAlignment="1">
      <alignment horizontal="center"/>
    </xf>
    <xf numFmtId="0" fontId="9" fillId="0" borderId="1" xfId="0" applyFont="1" applyBorder="1" applyAlignment="1">
      <alignment horizontal="center"/>
    </xf>
    <xf numFmtId="0" fontId="9" fillId="4" borderId="1" xfId="0" applyFont="1" applyFill="1" applyBorder="1"/>
    <xf numFmtId="0" fontId="9" fillId="4" borderId="1" xfId="0" applyFont="1" applyFill="1" applyBorder="1" applyAlignment="1">
      <alignment horizontal="center"/>
    </xf>
    <xf numFmtId="0" fontId="5" fillId="3" borderId="1" xfId="0" applyFont="1" applyFill="1" applyBorder="1" applyAlignment="1">
      <alignment horizontal="center"/>
    </xf>
    <xf numFmtId="164" fontId="10" fillId="0" borderId="1" xfId="0" applyNumberFormat="1" applyFont="1" applyBorder="1" applyAlignment="1">
      <alignment horizontal="center"/>
    </xf>
    <xf numFmtId="164" fontId="9" fillId="4" borderId="1" xfId="0" applyNumberFormat="1" applyFont="1" applyFill="1" applyBorder="1" applyAlignment="1">
      <alignment horizontal="center"/>
    </xf>
    <xf numFmtId="0" fontId="9" fillId="0" borderId="0" xfId="0" applyFont="1"/>
    <xf numFmtId="0" fontId="11" fillId="0" borderId="0" xfId="0" applyFont="1"/>
    <xf numFmtId="0" fontId="9" fillId="7" borderId="1" xfId="0" applyFont="1" applyFill="1" applyBorder="1" applyAlignment="1">
      <alignment horizontal="center"/>
    </xf>
    <xf numFmtId="0" fontId="12" fillId="7" borderId="1" xfId="0" applyFont="1" applyFill="1" applyBorder="1" applyAlignment="1">
      <alignment horizontal="left"/>
    </xf>
    <xf numFmtId="0" fontId="10" fillId="0" borderId="1" xfId="0" applyFont="1" applyBorder="1" applyAlignment="1">
      <alignment horizontal="left"/>
    </xf>
    <xf numFmtId="0" fontId="0" fillId="4" borderId="1" xfId="0" applyFill="1" applyBorder="1"/>
    <xf numFmtId="0" fontId="5" fillId="2" borderId="1" xfId="0" applyFont="1" applyFill="1" applyBorder="1" applyAlignment="1">
      <alignment horizontal="center" vertical="center"/>
    </xf>
    <xf numFmtId="0" fontId="10" fillId="0" borderId="1" xfId="0" applyFont="1" applyBorder="1" applyAlignment="1">
      <alignment horizontal="right"/>
    </xf>
    <xf numFmtId="0" fontId="13" fillId="0" borderId="0" xfId="0" applyFont="1"/>
    <xf numFmtId="0" fontId="4" fillId="4" borderId="0" xfId="0" applyFont="1" applyFill="1" applyAlignment="1">
      <alignment horizontal="center" vertical="center"/>
    </xf>
    <xf numFmtId="0" fontId="0" fillId="0" borderId="0" xfId="0"/>
    <xf numFmtId="0" fontId="7" fillId="6" borderId="1" xfId="0" applyFont="1" applyFill="1" applyBorder="1" applyAlignment="1">
      <alignment horizontal="left" vertical="center"/>
    </xf>
    <xf numFmtId="0" fontId="8" fillId="0" borderId="0" xfId="0" applyFont="1"/>
    <xf numFmtId="0" fontId="1" fillId="2" borderId="0" xfId="0" applyFont="1" applyFill="1" applyAlignment="1">
      <alignment horizontal="center" vertical="center"/>
    </xf>
    <xf numFmtId="0" fontId="5" fillId="3" borderId="0" xfId="0" applyFont="1" applyFill="1" applyAlignment="1">
      <alignment horizontal="center" vertical="center"/>
    </xf>
    <xf numFmtId="0" fontId="3" fillId="4" borderId="0" xfId="0" applyFont="1" applyFill="1" applyAlignment="1">
      <alignment horizontal="center" vertical="center"/>
    </xf>
    <xf numFmtId="0" fontId="2" fillId="3" borderId="0" xfId="0" applyFont="1" applyFill="1" applyAlignment="1">
      <alignment horizontal="center" vertical="center"/>
    </xf>
    <xf numFmtId="0" fontId="6" fillId="5" borderId="1" xfId="0" applyFont="1" applyFill="1" applyBorder="1" applyAlignment="1">
      <alignment horizontal="left" vertical="center"/>
    </xf>
    <xf numFmtId="0" fontId="14" fillId="8" borderId="1" xfId="0" applyFont="1" applyFill="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Total Wins by Team (Interactive Bar PivotChart)</a:t>
            </a:r>
          </a:p>
        </c:rich>
      </c:tx>
      <c:overlay val="1"/>
    </c:title>
    <c:autoTitleDeleted val="0"/>
    <c:plotArea>
      <c:layout/>
      <c:barChart>
        <c:barDir val="col"/>
        <c:grouping val="clustered"/>
        <c:varyColors val="1"/>
        <c:ser>
          <c:idx val="0"/>
          <c:order val="0"/>
          <c:tx>
            <c:strRef>
              <c:f>'Executive Dashboard'!$F$8</c:f>
              <c:strCache>
                <c:ptCount val="1"/>
                <c:pt idx="0">
                  <c:v>Matches Won</c:v>
                </c:pt>
              </c:strCache>
            </c:strRef>
          </c:tx>
          <c:spPr>
            <a:ln>
              <a:prstDash val="solid"/>
            </a:ln>
          </c:spPr>
          <c:invertIfNegative val="1"/>
          <c:cat>
            <c:strRef>
              <c:f>'Executive Dashboard'!$D$9:$D$18</c:f>
              <c:strCache>
                <c:ptCount val="10"/>
                <c:pt idx="0">
                  <c:v>Sunrisers Hyderabad</c:v>
                </c:pt>
                <c:pt idx="1">
                  <c:v>Chennai Super Kings</c:v>
                </c:pt>
                <c:pt idx="2">
                  <c:v>Rajasthan Royals</c:v>
                </c:pt>
                <c:pt idx="3">
                  <c:v>Lucknow Super Giants</c:v>
                </c:pt>
                <c:pt idx="4">
                  <c:v>Royal Challengers Bengaluru</c:v>
                </c:pt>
                <c:pt idx="5">
                  <c:v>Kolkata Knight Riders</c:v>
                </c:pt>
                <c:pt idx="6">
                  <c:v>Punjab Kings</c:v>
                </c:pt>
                <c:pt idx="7">
                  <c:v>Gujarat Titans</c:v>
                </c:pt>
                <c:pt idx="8">
                  <c:v>Delhi Capitals</c:v>
                </c:pt>
                <c:pt idx="9">
                  <c:v>Mumbai Indians</c:v>
                </c:pt>
              </c:strCache>
            </c:strRef>
          </c:cat>
          <c:val>
            <c:numRef>
              <c:f>'Executive Dashboard'!$F$9:$F$18</c:f>
              <c:numCache>
                <c:formatCode>General</c:formatCode>
                <c:ptCount val="10"/>
                <c:pt idx="0">
                  <c:v>11</c:v>
                </c:pt>
                <c:pt idx="1">
                  <c:v>8</c:v>
                </c:pt>
                <c:pt idx="2">
                  <c:v>7</c:v>
                </c:pt>
                <c:pt idx="3">
                  <c:v>6</c:v>
                </c:pt>
                <c:pt idx="4">
                  <c:v>5</c:v>
                </c:pt>
                <c:pt idx="5">
                  <c:v>5</c:v>
                </c:pt>
                <c:pt idx="6">
                  <c:v>5</c:v>
                </c:pt>
                <c:pt idx="7">
                  <c:v>4</c:v>
                </c:pt>
                <c:pt idx="8">
                  <c:v>4</c:v>
                </c:pt>
                <c:pt idx="9">
                  <c:v>3</c:v>
                </c:pt>
              </c:numCache>
            </c:numRef>
          </c:val>
          <c:extLst>
            <c:ext xmlns:c16="http://schemas.microsoft.com/office/drawing/2014/chart" uri="{C3380CC4-5D6E-409C-BE32-E72D297353CC}">
              <c16:uniqueId val="{00000000-B780-4461-A1FE-DB7FAA6B94E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IPL Franchise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Matches Won</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en-US"/>
              <a:t>Matches Played Over Time (Line PivotChart Trend)</a:t>
            </a:r>
          </a:p>
        </c:rich>
      </c:tx>
      <c:overlay val="1"/>
    </c:title>
    <c:autoTitleDeleted val="0"/>
    <c:plotArea>
      <c:layout/>
      <c:lineChart>
        <c:grouping val="standard"/>
        <c:varyColors val="1"/>
        <c:ser>
          <c:idx val="0"/>
          <c:order val="0"/>
          <c:tx>
            <c:strRef>
              <c:f>'Executive Dashboard'!$E$22</c:f>
              <c:strCache>
                <c:ptCount val="1"/>
                <c:pt idx="0">
                  <c:v>Matches Played</c:v>
                </c:pt>
              </c:strCache>
            </c:strRef>
          </c:tx>
          <c:spPr>
            <a:ln>
              <a:prstDash val="solid"/>
            </a:ln>
          </c:spPr>
          <c:marker>
            <c:symbol val="none"/>
          </c:marker>
          <c:cat>
            <c:strRef>
              <c:f>'Executive Dashboard'!$D$23:$D$25</c:f>
              <c:strCache>
                <c:ptCount val="3"/>
                <c:pt idx="0">
                  <c:v>March</c:v>
                </c:pt>
                <c:pt idx="1">
                  <c:v>April</c:v>
                </c:pt>
                <c:pt idx="2">
                  <c:v>May</c:v>
                </c:pt>
              </c:strCache>
            </c:strRef>
          </c:cat>
          <c:val>
            <c:numRef>
              <c:f>'Executive Dashboard'!$E$23:$E$25</c:f>
              <c:numCache>
                <c:formatCode>General</c:formatCode>
                <c:ptCount val="3"/>
                <c:pt idx="0">
                  <c:v>9</c:v>
                </c:pt>
                <c:pt idx="1">
                  <c:v>45</c:v>
                </c:pt>
                <c:pt idx="2">
                  <c:v>47</c:v>
                </c:pt>
              </c:numCache>
            </c:numRef>
          </c:val>
          <c:smooth val="1"/>
          <c:extLst>
            <c:ext xmlns:c16="http://schemas.microsoft.com/office/drawing/2014/chart" uri="{C3380CC4-5D6E-409C-BE32-E72D297353CC}">
              <c16:uniqueId val="{00000000-D58D-46BA-B019-57531AA0C1F0}"/>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IPL Tournament Months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Total Matches</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t>Task 1: Total Number of Matches Played by Each Team</a:t>
            </a:r>
          </a:p>
        </c:rich>
      </c:tx>
      <c:overlay val="1"/>
    </c:title>
    <c:autoTitleDeleted val="0"/>
    <c:plotArea>
      <c:layout/>
      <c:barChart>
        <c:barDir val="col"/>
        <c:grouping val="clustered"/>
        <c:varyColors val="1"/>
        <c:ser>
          <c:idx val="0"/>
          <c:order val="0"/>
          <c:tx>
            <c:strRef>
              <c:f>'Task 1-3 - Matches &amp; Slicers'!$B$5</c:f>
              <c:strCache>
                <c:ptCount val="1"/>
                <c:pt idx="0">
                  <c:v>Matches Played</c:v>
                </c:pt>
              </c:strCache>
            </c:strRef>
          </c:tx>
          <c:spPr>
            <a:ln>
              <a:prstDash val="solid"/>
            </a:ln>
          </c:spPr>
          <c:invertIfNegative val="1"/>
          <c:cat>
            <c:strRef>
              <c:f>'Task 1-3 - Matches &amp; Slicers'!$A$6:$A$15</c:f>
              <c:strCache>
                <c:ptCount val="10"/>
                <c:pt idx="0">
                  <c:v>Chennai Super Kings</c:v>
                </c:pt>
                <c:pt idx="1">
                  <c:v>Sunrisers Hyderabad</c:v>
                </c:pt>
                <c:pt idx="2">
                  <c:v>Lucknow Super Giants</c:v>
                </c:pt>
                <c:pt idx="3">
                  <c:v>Punjab Kings</c:v>
                </c:pt>
                <c:pt idx="4">
                  <c:v>Royal Challengers Bengaluru</c:v>
                </c:pt>
                <c:pt idx="5">
                  <c:v>Kolkata Knight Riders</c:v>
                </c:pt>
                <c:pt idx="6">
                  <c:v>Mumbai Indians</c:v>
                </c:pt>
                <c:pt idx="7">
                  <c:v>Delhi Capitals</c:v>
                </c:pt>
                <c:pt idx="8">
                  <c:v>Gujarat Titans</c:v>
                </c:pt>
                <c:pt idx="9">
                  <c:v>Rajasthan Royals</c:v>
                </c:pt>
              </c:strCache>
            </c:strRef>
          </c:cat>
          <c:val>
            <c:numRef>
              <c:f>'Task 1-3 - Matches &amp; Slicers'!$B$6:$B$15</c:f>
              <c:numCache>
                <c:formatCode>General</c:formatCode>
                <c:ptCount val="10"/>
                <c:pt idx="0">
                  <c:v>17</c:v>
                </c:pt>
                <c:pt idx="1">
                  <c:v>16</c:v>
                </c:pt>
                <c:pt idx="2">
                  <c:v>15</c:v>
                </c:pt>
                <c:pt idx="3">
                  <c:v>12</c:v>
                </c:pt>
                <c:pt idx="4">
                  <c:v>11</c:v>
                </c:pt>
                <c:pt idx="5">
                  <c:v>11</c:v>
                </c:pt>
                <c:pt idx="6">
                  <c:v>10</c:v>
                </c:pt>
                <c:pt idx="7">
                  <c:v>10</c:v>
                </c:pt>
                <c:pt idx="8">
                  <c:v>9</c:v>
                </c:pt>
                <c:pt idx="9">
                  <c:v>9</c:v>
                </c:pt>
              </c:numCache>
            </c:numRef>
          </c:val>
          <c:extLst>
            <c:ext xmlns:c16="http://schemas.microsoft.com/office/drawing/2014/chart" uri="{C3380CC4-5D6E-409C-BE32-E72D297353CC}">
              <c16:uniqueId val="{00000000-B1B6-4442-ADD6-8F9E9001244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IPL Team</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Number of Matches</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t>Matches Won by Team per Year (2022 vs 2023 vs 2024)</a:t>
            </a:r>
          </a:p>
        </c:rich>
      </c:tx>
      <c:overlay val="1"/>
    </c:title>
    <c:autoTitleDeleted val="0"/>
    <c:plotArea>
      <c:layout/>
      <c:barChart>
        <c:barDir val="col"/>
        <c:grouping val="clustered"/>
        <c:varyColors val="1"/>
        <c:ser>
          <c:idx val="0"/>
          <c:order val="0"/>
          <c:tx>
            <c:strRef>
              <c:f>'Task 5 - Wins Per Year'!$B$5</c:f>
              <c:strCache>
                <c:ptCount val="1"/>
                <c:pt idx="0">
                  <c:v>2022 Wins</c:v>
                </c:pt>
              </c:strCache>
            </c:strRef>
          </c:tx>
          <c:spPr>
            <a:ln>
              <a:prstDash val="solid"/>
            </a:ln>
          </c:spPr>
          <c:invertIfNegative val="1"/>
          <c:cat>
            <c:strRef>
              <c:f>'Task 5 - Wins Per Year'!$A$6:$A$15</c:f>
              <c:strCache>
                <c:ptCount val="10"/>
                <c:pt idx="0">
                  <c:v>Gujarat Titans</c:v>
                </c:pt>
                <c:pt idx="1">
                  <c:v>Chennai Super Kings</c:v>
                </c:pt>
                <c:pt idx="2">
                  <c:v>Mumbai Indians</c:v>
                </c:pt>
                <c:pt idx="3">
                  <c:v>Royal Challengers Bengaluru</c:v>
                </c:pt>
                <c:pt idx="4">
                  <c:v>Kolkata Knight Riders</c:v>
                </c:pt>
                <c:pt idx="5">
                  <c:v>Rajasthan Royals</c:v>
                </c:pt>
                <c:pt idx="6">
                  <c:v>Sunrisers Hyderabad</c:v>
                </c:pt>
                <c:pt idx="7">
                  <c:v>Delhi Capitals</c:v>
                </c:pt>
                <c:pt idx="8">
                  <c:v>Lucknow Super Giants</c:v>
                </c:pt>
                <c:pt idx="9">
                  <c:v>Punjab Kings</c:v>
                </c:pt>
              </c:strCache>
            </c:strRef>
          </c:cat>
          <c:val>
            <c:numRef>
              <c:f>'Task 5 - Wins Per Year'!$B$6:$B$15</c:f>
              <c:numCache>
                <c:formatCode>General</c:formatCode>
                <c:ptCount val="10"/>
                <c:pt idx="0">
                  <c:v>0</c:v>
                </c:pt>
                <c:pt idx="1">
                  <c:v>4</c:v>
                </c:pt>
                <c:pt idx="2">
                  <c:v>0</c:v>
                </c:pt>
                <c:pt idx="3">
                  <c:v>1</c:v>
                </c:pt>
                <c:pt idx="4">
                  <c:v>1</c:v>
                </c:pt>
                <c:pt idx="5">
                  <c:v>5</c:v>
                </c:pt>
                <c:pt idx="6">
                  <c:v>5</c:v>
                </c:pt>
                <c:pt idx="7">
                  <c:v>2</c:v>
                </c:pt>
                <c:pt idx="8">
                  <c:v>0</c:v>
                </c:pt>
                <c:pt idx="9">
                  <c:v>0</c:v>
                </c:pt>
              </c:numCache>
            </c:numRef>
          </c:val>
          <c:extLst>
            <c:ext xmlns:c16="http://schemas.microsoft.com/office/drawing/2014/chart" uri="{C3380CC4-5D6E-409C-BE32-E72D297353CC}">
              <c16:uniqueId val="{00000000-A6B2-4800-B1BA-B15F54D70CE0}"/>
            </c:ext>
          </c:extLst>
        </c:ser>
        <c:ser>
          <c:idx val="1"/>
          <c:order val="1"/>
          <c:tx>
            <c:strRef>
              <c:f>'Task 5 - Wins Per Year'!$C$5</c:f>
              <c:strCache>
                <c:ptCount val="1"/>
                <c:pt idx="0">
                  <c:v>2023 Wins</c:v>
                </c:pt>
              </c:strCache>
            </c:strRef>
          </c:tx>
          <c:spPr>
            <a:ln>
              <a:prstDash val="solid"/>
            </a:ln>
          </c:spPr>
          <c:invertIfNegative val="1"/>
          <c:cat>
            <c:strRef>
              <c:f>'Task 5 - Wins Per Year'!$A$6:$A$15</c:f>
              <c:strCache>
                <c:ptCount val="10"/>
                <c:pt idx="0">
                  <c:v>Gujarat Titans</c:v>
                </c:pt>
                <c:pt idx="1">
                  <c:v>Chennai Super Kings</c:v>
                </c:pt>
                <c:pt idx="2">
                  <c:v>Mumbai Indians</c:v>
                </c:pt>
                <c:pt idx="3">
                  <c:v>Royal Challengers Bengaluru</c:v>
                </c:pt>
                <c:pt idx="4">
                  <c:v>Kolkata Knight Riders</c:v>
                </c:pt>
                <c:pt idx="5">
                  <c:v>Rajasthan Royals</c:v>
                </c:pt>
                <c:pt idx="6">
                  <c:v>Sunrisers Hyderabad</c:v>
                </c:pt>
                <c:pt idx="7">
                  <c:v>Delhi Capitals</c:v>
                </c:pt>
                <c:pt idx="8">
                  <c:v>Lucknow Super Giants</c:v>
                </c:pt>
                <c:pt idx="9">
                  <c:v>Punjab Kings</c:v>
                </c:pt>
              </c:strCache>
            </c:strRef>
          </c:cat>
          <c:val>
            <c:numRef>
              <c:f>'Task 5 - Wins Per Year'!$C$6:$C$15</c:f>
              <c:numCache>
                <c:formatCode>General</c:formatCode>
                <c:ptCount val="10"/>
                <c:pt idx="0">
                  <c:v>1</c:v>
                </c:pt>
                <c:pt idx="1">
                  <c:v>2</c:v>
                </c:pt>
                <c:pt idx="2">
                  <c:v>3</c:v>
                </c:pt>
                <c:pt idx="3">
                  <c:v>2</c:v>
                </c:pt>
                <c:pt idx="4">
                  <c:v>2</c:v>
                </c:pt>
                <c:pt idx="5">
                  <c:v>2</c:v>
                </c:pt>
                <c:pt idx="6">
                  <c:v>3</c:v>
                </c:pt>
                <c:pt idx="7">
                  <c:v>0</c:v>
                </c:pt>
                <c:pt idx="8">
                  <c:v>3</c:v>
                </c:pt>
                <c:pt idx="9">
                  <c:v>3</c:v>
                </c:pt>
              </c:numCache>
            </c:numRef>
          </c:val>
          <c:extLst>
            <c:ext xmlns:c16="http://schemas.microsoft.com/office/drawing/2014/chart" uri="{C3380CC4-5D6E-409C-BE32-E72D297353CC}">
              <c16:uniqueId val="{00000001-A6B2-4800-B1BA-B15F54D70CE0}"/>
            </c:ext>
          </c:extLst>
        </c:ser>
        <c:ser>
          <c:idx val="2"/>
          <c:order val="2"/>
          <c:tx>
            <c:strRef>
              <c:f>'Task 5 - Wins Per Year'!$D$5</c:f>
              <c:strCache>
                <c:ptCount val="1"/>
                <c:pt idx="0">
                  <c:v>2024 Wins</c:v>
                </c:pt>
              </c:strCache>
            </c:strRef>
          </c:tx>
          <c:spPr>
            <a:ln>
              <a:prstDash val="solid"/>
            </a:ln>
          </c:spPr>
          <c:invertIfNegative val="1"/>
          <c:cat>
            <c:strRef>
              <c:f>'Task 5 - Wins Per Year'!$A$6:$A$15</c:f>
              <c:strCache>
                <c:ptCount val="10"/>
                <c:pt idx="0">
                  <c:v>Gujarat Titans</c:v>
                </c:pt>
                <c:pt idx="1">
                  <c:v>Chennai Super Kings</c:v>
                </c:pt>
                <c:pt idx="2">
                  <c:v>Mumbai Indians</c:v>
                </c:pt>
                <c:pt idx="3">
                  <c:v>Royal Challengers Bengaluru</c:v>
                </c:pt>
                <c:pt idx="4">
                  <c:v>Kolkata Knight Riders</c:v>
                </c:pt>
                <c:pt idx="5">
                  <c:v>Rajasthan Royals</c:v>
                </c:pt>
                <c:pt idx="6">
                  <c:v>Sunrisers Hyderabad</c:v>
                </c:pt>
                <c:pt idx="7">
                  <c:v>Delhi Capitals</c:v>
                </c:pt>
                <c:pt idx="8">
                  <c:v>Lucknow Super Giants</c:v>
                </c:pt>
                <c:pt idx="9">
                  <c:v>Punjab Kings</c:v>
                </c:pt>
              </c:strCache>
            </c:strRef>
          </c:cat>
          <c:val>
            <c:numRef>
              <c:f>'Task 5 - Wins Per Year'!$D$6:$D$15</c:f>
              <c:numCache>
                <c:formatCode>General</c:formatCode>
                <c:ptCount val="10"/>
                <c:pt idx="0">
                  <c:v>3</c:v>
                </c:pt>
                <c:pt idx="1">
                  <c:v>2</c:v>
                </c:pt>
                <c:pt idx="2">
                  <c:v>0</c:v>
                </c:pt>
                <c:pt idx="3">
                  <c:v>2</c:v>
                </c:pt>
                <c:pt idx="4">
                  <c:v>2</c:v>
                </c:pt>
                <c:pt idx="5">
                  <c:v>0</c:v>
                </c:pt>
                <c:pt idx="6">
                  <c:v>3</c:v>
                </c:pt>
                <c:pt idx="7">
                  <c:v>2</c:v>
                </c:pt>
                <c:pt idx="8">
                  <c:v>3</c:v>
                </c:pt>
                <c:pt idx="9">
                  <c:v>2</c:v>
                </c:pt>
              </c:numCache>
            </c:numRef>
          </c:val>
          <c:extLst>
            <c:ext xmlns:c16="http://schemas.microsoft.com/office/drawing/2014/chart" uri="{C3380CC4-5D6E-409C-BE32-E72D297353CC}">
              <c16:uniqueId val="{00000002-A6B2-4800-B1BA-B15F54D70CE0}"/>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Franchise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Total Wins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7</xdr:col>
      <xdr:colOff>0</xdr:colOff>
      <xdr:row>6</xdr:row>
      <xdr:rowOff>0</xdr:rowOff>
    </xdr:from>
    <xdr:ext cx="6120000" cy="43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20</xdr:row>
      <xdr:rowOff>0</xdr:rowOff>
    </xdr:from>
    <xdr:ext cx="6120000" cy="360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4</xdr:row>
      <xdr:rowOff>0</xdr:rowOff>
    </xdr:from>
    <xdr:ext cx="6120000" cy="43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17</xdr:row>
      <xdr:rowOff>0</xdr:rowOff>
    </xdr:from>
    <xdr:ext cx="6840000" cy="46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workbookViewId="0">
      <selection activeCell="A22" sqref="A22:B22"/>
    </sheetView>
  </sheetViews>
  <sheetFormatPr defaultRowHeight="14.5" x14ac:dyDescent="0.35"/>
  <cols>
    <col min="1" max="1" width="16" customWidth="1"/>
    <col min="2" max="2" width="24" customWidth="1"/>
    <col min="3" max="3" width="13" customWidth="1"/>
    <col min="4" max="4" width="26" customWidth="1"/>
    <col min="5" max="6" width="15" customWidth="1"/>
    <col min="7" max="7" width="21" customWidth="1"/>
    <col min="8" max="9" width="13" customWidth="1"/>
    <col min="10" max="10" width="21" customWidth="1"/>
    <col min="11" max="11" width="13" customWidth="1"/>
  </cols>
  <sheetData>
    <row r="1" spans="1:11" ht="34" customHeight="1" x14ac:dyDescent="0.35">
      <c r="A1" s="24" t="s">
        <v>0</v>
      </c>
      <c r="B1" s="21"/>
      <c r="C1" s="21"/>
      <c r="D1" s="21"/>
      <c r="E1" s="21"/>
      <c r="F1" s="21"/>
      <c r="G1" s="21"/>
      <c r="H1" s="21"/>
      <c r="I1" s="21"/>
      <c r="J1" s="21"/>
      <c r="K1" s="21"/>
    </row>
    <row r="2" spans="1:11" ht="20" customHeight="1" x14ac:dyDescent="0.35">
      <c r="A2" s="27" t="s">
        <v>1</v>
      </c>
      <c r="B2" s="21"/>
      <c r="C2" s="21"/>
      <c r="D2" s="21"/>
      <c r="E2" s="21"/>
      <c r="F2" s="21"/>
      <c r="G2" s="21"/>
      <c r="H2" s="21"/>
      <c r="I2" s="21"/>
      <c r="J2" s="21"/>
      <c r="K2" s="21"/>
    </row>
    <row r="4" spans="1:11" ht="20" customHeight="1" x14ac:dyDescent="0.35">
      <c r="A4" s="26" t="s">
        <v>2</v>
      </c>
      <c r="B4" s="21"/>
      <c r="D4" s="26" t="s">
        <v>3</v>
      </c>
      <c r="E4" s="21"/>
      <c r="G4" s="26" t="s">
        <v>4</v>
      </c>
      <c r="H4" s="21"/>
      <c r="J4" s="26" t="s">
        <v>5</v>
      </c>
      <c r="K4" s="21"/>
    </row>
    <row r="5" spans="1:11" ht="28" customHeight="1" x14ac:dyDescent="0.35">
      <c r="A5" s="20" t="s">
        <v>6</v>
      </c>
      <c r="B5" s="21"/>
      <c r="D5" s="20" t="s">
        <v>7</v>
      </c>
      <c r="E5" s="21"/>
      <c r="G5" s="20" t="s">
        <v>8</v>
      </c>
      <c r="H5" s="21"/>
      <c r="J5" s="20" t="s">
        <v>9</v>
      </c>
      <c r="K5" s="21"/>
    </row>
    <row r="7" spans="1:11" ht="17" x14ac:dyDescent="0.4">
      <c r="A7" s="25" t="s">
        <v>10</v>
      </c>
      <c r="B7" s="21"/>
      <c r="D7" s="23" t="s">
        <v>11</v>
      </c>
      <c r="E7" s="21"/>
      <c r="F7" s="21"/>
    </row>
    <row r="8" spans="1:11" ht="20" customHeight="1" x14ac:dyDescent="0.35">
      <c r="A8" s="28" t="s">
        <v>12</v>
      </c>
      <c r="B8" s="21"/>
      <c r="D8" s="2" t="s">
        <v>13</v>
      </c>
      <c r="E8" s="2" t="s">
        <v>14</v>
      </c>
      <c r="F8" s="2" t="s">
        <v>15</v>
      </c>
    </row>
    <row r="9" spans="1:11" ht="20" customHeight="1" x14ac:dyDescent="0.35">
      <c r="A9" s="22" t="s">
        <v>16</v>
      </c>
      <c r="B9" s="21"/>
      <c r="D9" s="3" t="s">
        <v>17</v>
      </c>
      <c r="E9" s="4">
        <f>COUNTIF('IPL Raw Dataset'!$E$5:$E$124, D9)</f>
        <v>16</v>
      </c>
      <c r="F9" s="5">
        <f>COUNTIFS('IPL Raw Dataset'!$E$5:$E$124, D9, 'IPL Raw Dataset'!$H$5:$H$124, "Won")</f>
        <v>11</v>
      </c>
    </row>
    <row r="10" spans="1:11" ht="20" customHeight="1" x14ac:dyDescent="0.35">
      <c r="A10" s="22" t="s">
        <v>18</v>
      </c>
      <c r="B10" s="21"/>
      <c r="D10" s="3" t="s">
        <v>19</v>
      </c>
      <c r="E10" s="4">
        <f>COUNTIF('IPL Raw Dataset'!$E$5:$E$124, D10)</f>
        <v>17</v>
      </c>
      <c r="F10" s="5">
        <f>COUNTIFS('IPL Raw Dataset'!$E$5:$E$124, D10, 'IPL Raw Dataset'!$H$5:$H$124, "Won")</f>
        <v>8</v>
      </c>
    </row>
    <row r="11" spans="1:11" ht="20" customHeight="1" x14ac:dyDescent="0.35">
      <c r="A11" s="22" t="s">
        <v>20</v>
      </c>
      <c r="B11" s="21"/>
      <c r="D11" s="3" t="s">
        <v>21</v>
      </c>
      <c r="E11" s="4">
        <f>COUNTIF('IPL Raw Dataset'!$E$5:$E$124, D11)</f>
        <v>9</v>
      </c>
      <c r="F11" s="5">
        <f>COUNTIFS('IPL Raw Dataset'!$E$5:$E$124, D11, 'IPL Raw Dataset'!$H$5:$H$124, "Won")</f>
        <v>7</v>
      </c>
    </row>
    <row r="12" spans="1:11" ht="20" customHeight="1" x14ac:dyDescent="0.35">
      <c r="A12" s="22" t="s">
        <v>22</v>
      </c>
      <c r="B12" s="21"/>
      <c r="D12" s="3" t="s">
        <v>23</v>
      </c>
      <c r="E12" s="4">
        <f>COUNTIF('IPL Raw Dataset'!$E$5:$E$124, D12)</f>
        <v>15</v>
      </c>
      <c r="F12" s="5">
        <f>COUNTIFS('IPL Raw Dataset'!$E$5:$E$124, D12, 'IPL Raw Dataset'!$H$5:$H$124, "Won")</f>
        <v>6</v>
      </c>
    </row>
    <row r="13" spans="1:11" ht="20" customHeight="1" x14ac:dyDescent="0.35">
      <c r="A13" s="22" t="s">
        <v>24</v>
      </c>
      <c r="B13" s="21"/>
      <c r="D13" s="3" t="s">
        <v>25</v>
      </c>
      <c r="E13" s="4">
        <f>COUNTIF('IPL Raw Dataset'!$E$5:$E$124, D13)</f>
        <v>11</v>
      </c>
      <c r="F13" s="5">
        <f>COUNTIFS('IPL Raw Dataset'!$E$5:$E$124, D13, 'IPL Raw Dataset'!$H$5:$H$124, "Won")</f>
        <v>5</v>
      </c>
    </row>
    <row r="14" spans="1:11" ht="20" customHeight="1" x14ac:dyDescent="0.35">
      <c r="A14" s="22" t="s">
        <v>26</v>
      </c>
      <c r="B14" s="21"/>
      <c r="D14" s="3" t="s">
        <v>27</v>
      </c>
      <c r="E14" s="4">
        <f>COUNTIF('IPL Raw Dataset'!$E$5:$E$124, D14)</f>
        <v>11</v>
      </c>
      <c r="F14" s="5">
        <f>COUNTIFS('IPL Raw Dataset'!$E$5:$E$124, D14, 'IPL Raw Dataset'!$H$5:$H$124, "Won")</f>
        <v>5</v>
      </c>
    </row>
    <row r="15" spans="1:11" x14ac:dyDescent="0.35">
      <c r="D15" s="3" t="s">
        <v>28</v>
      </c>
      <c r="E15" s="4">
        <f>COUNTIF('IPL Raw Dataset'!$E$5:$E$124, D15)</f>
        <v>12</v>
      </c>
      <c r="F15" s="5">
        <f>COUNTIFS('IPL Raw Dataset'!$E$5:$E$124, D15, 'IPL Raw Dataset'!$H$5:$H$124, "Won")</f>
        <v>5</v>
      </c>
    </row>
    <row r="16" spans="1:11" x14ac:dyDescent="0.35">
      <c r="A16" s="25" t="s">
        <v>29</v>
      </c>
      <c r="B16" s="21"/>
      <c r="D16" s="3" t="s">
        <v>30</v>
      </c>
      <c r="E16" s="4">
        <f>COUNTIF('IPL Raw Dataset'!$E$5:$E$124, D16)</f>
        <v>9</v>
      </c>
      <c r="F16" s="5">
        <f>COUNTIFS('IPL Raw Dataset'!$E$5:$E$124, D16, 'IPL Raw Dataset'!$H$5:$H$124, "Won")</f>
        <v>4</v>
      </c>
    </row>
    <row r="17" spans="1:6" ht="20" customHeight="1" x14ac:dyDescent="0.35">
      <c r="A17" s="28" t="s">
        <v>31</v>
      </c>
      <c r="B17" s="21"/>
      <c r="D17" s="3" t="s">
        <v>32</v>
      </c>
      <c r="E17" s="4">
        <f>COUNTIF('IPL Raw Dataset'!$E$5:$E$124, D17)</f>
        <v>10</v>
      </c>
      <c r="F17" s="5">
        <f>COUNTIFS('IPL Raw Dataset'!$E$5:$E$124, D17, 'IPL Raw Dataset'!$H$5:$H$124, "Won")</f>
        <v>4</v>
      </c>
    </row>
    <row r="18" spans="1:6" ht="20" customHeight="1" x14ac:dyDescent="0.35">
      <c r="A18" s="22" t="s">
        <v>33</v>
      </c>
      <c r="B18" s="21"/>
      <c r="D18" s="3" t="s">
        <v>34</v>
      </c>
      <c r="E18" s="4">
        <f>COUNTIF('IPL Raw Dataset'!$E$5:$E$124, D18)</f>
        <v>10</v>
      </c>
      <c r="F18" s="5">
        <f>COUNTIFS('IPL Raw Dataset'!$E$5:$E$124, D18, 'IPL Raw Dataset'!$H$5:$H$124, "Won")</f>
        <v>3</v>
      </c>
    </row>
    <row r="19" spans="1:6" ht="20" customHeight="1" x14ac:dyDescent="0.35">
      <c r="A19" s="22" t="s">
        <v>35</v>
      </c>
      <c r="B19" s="21"/>
      <c r="D19" s="6" t="s">
        <v>36</v>
      </c>
      <c r="E19" s="7">
        <f>SUM(E9:E18)</f>
        <v>120</v>
      </c>
      <c r="F19" s="7">
        <f>SUM(F9:F18)</f>
        <v>58</v>
      </c>
    </row>
    <row r="20" spans="1:6" ht="20" customHeight="1" x14ac:dyDescent="0.35">
      <c r="A20" s="22" t="s">
        <v>37</v>
      </c>
      <c r="B20" s="21"/>
    </row>
    <row r="21" spans="1:6" ht="20" customHeight="1" x14ac:dyDescent="0.4">
      <c r="A21" s="22" t="s">
        <v>38</v>
      </c>
      <c r="B21" s="21"/>
      <c r="D21" s="23" t="s">
        <v>39</v>
      </c>
      <c r="E21" s="21"/>
      <c r="F21" s="21"/>
    </row>
    <row r="22" spans="1:6" ht="20" customHeight="1" x14ac:dyDescent="0.35">
      <c r="A22" s="22" t="s">
        <v>40</v>
      </c>
      <c r="B22" s="21"/>
      <c r="D22" s="8" t="s">
        <v>41</v>
      </c>
      <c r="E22" s="8" t="s">
        <v>42</v>
      </c>
      <c r="F22" s="8" t="s">
        <v>43</v>
      </c>
    </row>
    <row r="23" spans="1:6" ht="20" customHeight="1" x14ac:dyDescent="0.35">
      <c r="A23" s="22" t="s">
        <v>44</v>
      </c>
      <c r="B23" s="21"/>
      <c r="D23" s="3" t="s">
        <v>45</v>
      </c>
      <c r="E23" s="4">
        <f>COUNTIF('IPL Raw Dataset'!$D$5:$D$124, D23)</f>
        <v>9</v>
      </c>
      <c r="F23" s="4">
        <f>COUNTIFS('IPL Raw Dataset'!$D$5:$D$124, D23, 'IPL Raw Dataset'!$H$5:$H$124, "Won")</f>
        <v>3</v>
      </c>
    </row>
    <row r="24" spans="1:6" x14ac:dyDescent="0.35">
      <c r="D24" s="3" t="s">
        <v>46</v>
      </c>
      <c r="E24" s="4">
        <f>COUNTIF('IPL Raw Dataset'!$D$5:$D$124, D24)</f>
        <v>45</v>
      </c>
      <c r="F24" s="4">
        <f>COUNTIFS('IPL Raw Dataset'!$D$5:$D$124, D24, 'IPL Raw Dataset'!$H$5:$H$124, "Won")</f>
        <v>21</v>
      </c>
    </row>
    <row r="25" spans="1:6" x14ac:dyDescent="0.35">
      <c r="D25" s="3" t="s">
        <v>47</v>
      </c>
      <c r="E25" s="4">
        <f>COUNTIF('IPL Raw Dataset'!$D$5:$D$124, D25)</f>
        <v>47</v>
      </c>
      <c r="F25" s="4">
        <f>COUNTIFS('IPL Raw Dataset'!$D$5:$D$124, D25, 'IPL Raw Dataset'!$H$5:$H$124, "Won")</f>
        <v>25</v>
      </c>
    </row>
    <row r="26" spans="1:6" x14ac:dyDescent="0.35">
      <c r="D26" s="6" t="s">
        <v>14</v>
      </c>
      <c r="E26" s="7">
        <f>SUM(E23:E25)</f>
        <v>101</v>
      </c>
      <c r="F26" s="7">
        <f>SUM(F23:F25)</f>
        <v>49</v>
      </c>
    </row>
  </sheetData>
  <mergeCells count="28">
    <mergeCell ref="A16:B16"/>
    <mergeCell ref="A7:B7"/>
    <mergeCell ref="A18:B18"/>
    <mergeCell ref="A12:B12"/>
    <mergeCell ref="A21:B21"/>
    <mergeCell ref="A14:B14"/>
    <mergeCell ref="A17:B17"/>
    <mergeCell ref="A23:B23"/>
    <mergeCell ref="A8:B8"/>
    <mergeCell ref="A22:B22"/>
    <mergeCell ref="A20:B20"/>
    <mergeCell ref="A19:B19"/>
    <mergeCell ref="A10:B10"/>
    <mergeCell ref="A13:B13"/>
    <mergeCell ref="A9:B9"/>
    <mergeCell ref="J5:K5"/>
    <mergeCell ref="A11:B11"/>
    <mergeCell ref="D7:F7"/>
    <mergeCell ref="A1:K1"/>
    <mergeCell ref="D21:F21"/>
    <mergeCell ref="J4:K4"/>
    <mergeCell ref="A5:B5"/>
    <mergeCell ref="A2:K2"/>
    <mergeCell ref="G5:H5"/>
    <mergeCell ref="D4:E4"/>
    <mergeCell ref="A4:B4"/>
    <mergeCell ref="G4:H4"/>
    <mergeCell ref="D5:E5"/>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workbookViewId="0"/>
  </sheetViews>
  <sheetFormatPr defaultRowHeight="14.5" x14ac:dyDescent="0.35"/>
  <cols>
    <col min="1" max="1" width="96" customWidth="1"/>
    <col min="2" max="2" width="47" customWidth="1"/>
    <col min="3" max="3" width="21" customWidth="1"/>
    <col min="4" max="8" width="13" customWidth="1"/>
  </cols>
  <sheetData>
    <row r="1" spans="1:8" ht="34" customHeight="1" x14ac:dyDescent="0.35">
      <c r="A1" s="24" t="s">
        <v>48</v>
      </c>
      <c r="B1" s="21"/>
      <c r="C1" s="21"/>
      <c r="D1" s="21"/>
      <c r="E1" s="21"/>
      <c r="F1" s="21"/>
      <c r="G1" s="21"/>
      <c r="H1" s="21"/>
    </row>
    <row r="2" spans="1:8" ht="20" customHeight="1" x14ac:dyDescent="0.35">
      <c r="A2" s="27" t="s">
        <v>49</v>
      </c>
      <c r="B2" s="21"/>
      <c r="C2" s="21"/>
      <c r="D2" s="21"/>
      <c r="E2" s="21"/>
      <c r="F2" s="21"/>
      <c r="G2" s="21"/>
      <c r="H2" s="21"/>
    </row>
    <row r="4" spans="1:8" ht="17" x14ac:dyDescent="0.4">
      <c r="A4" s="1" t="s">
        <v>50</v>
      </c>
    </row>
    <row r="5" spans="1:8" x14ac:dyDescent="0.35">
      <c r="A5" s="2" t="s">
        <v>13</v>
      </c>
      <c r="B5" s="2" t="s">
        <v>42</v>
      </c>
      <c r="C5" s="2" t="s">
        <v>51</v>
      </c>
    </row>
    <row r="6" spans="1:8" x14ac:dyDescent="0.35">
      <c r="A6" s="3" t="s">
        <v>19</v>
      </c>
      <c r="B6" s="4">
        <f>COUNTIF('IPL Raw Dataset'!$E$5:$E$124, A6)</f>
        <v>17</v>
      </c>
      <c r="C6" s="9">
        <f t="shared" ref="C6:C15" si="0">B6/$B$16</f>
        <v>0.14166666666666666</v>
      </c>
    </row>
    <row r="7" spans="1:8" x14ac:dyDescent="0.35">
      <c r="A7" s="3" t="s">
        <v>17</v>
      </c>
      <c r="B7" s="4">
        <f>COUNTIF('IPL Raw Dataset'!$E$5:$E$124, A7)</f>
        <v>16</v>
      </c>
      <c r="C7" s="9">
        <f t="shared" si="0"/>
        <v>0.13333333333333333</v>
      </c>
    </row>
    <row r="8" spans="1:8" x14ac:dyDescent="0.35">
      <c r="A8" s="3" t="s">
        <v>23</v>
      </c>
      <c r="B8" s="4">
        <f>COUNTIF('IPL Raw Dataset'!$E$5:$E$124, A8)</f>
        <v>15</v>
      </c>
      <c r="C8" s="9">
        <f t="shared" si="0"/>
        <v>0.125</v>
      </c>
    </row>
    <row r="9" spans="1:8" x14ac:dyDescent="0.35">
      <c r="A9" s="3" t="s">
        <v>28</v>
      </c>
      <c r="B9" s="4">
        <f>COUNTIF('IPL Raw Dataset'!$E$5:$E$124, A9)</f>
        <v>12</v>
      </c>
      <c r="C9" s="9">
        <f t="shared" si="0"/>
        <v>0.1</v>
      </c>
    </row>
    <row r="10" spans="1:8" x14ac:dyDescent="0.35">
      <c r="A10" s="3" t="s">
        <v>25</v>
      </c>
      <c r="B10" s="4">
        <f>COUNTIF('IPL Raw Dataset'!$E$5:$E$124, A10)</f>
        <v>11</v>
      </c>
      <c r="C10" s="9">
        <f t="shared" si="0"/>
        <v>9.166666666666666E-2</v>
      </c>
    </row>
    <row r="11" spans="1:8" x14ac:dyDescent="0.35">
      <c r="A11" s="3" t="s">
        <v>27</v>
      </c>
      <c r="B11" s="4">
        <f>COUNTIF('IPL Raw Dataset'!$E$5:$E$124, A11)</f>
        <v>11</v>
      </c>
      <c r="C11" s="9">
        <f t="shared" si="0"/>
        <v>9.166666666666666E-2</v>
      </c>
    </row>
    <row r="12" spans="1:8" x14ac:dyDescent="0.35">
      <c r="A12" s="3" t="s">
        <v>34</v>
      </c>
      <c r="B12" s="4">
        <f>COUNTIF('IPL Raw Dataset'!$E$5:$E$124, A12)</f>
        <v>10</v>
      </c>
      <c r="C12" s="9">
        <f t="shared" si="0"/>
        <v>8.3333333333333329E-2</v>
      </c>
    </row>
    <row r="13" spans="1:8" x14ac:dyDescent="0.35">
      <c r="A13" s="3" t="s">
        <v>32</v>
      </c>
      <c r="B13" s="4">
        <f>COUNTIF('IPL Raw Dataset'!$E$5:$E$124, A13)</f>
        <v>10</v>
      </c>
      <c r="C13" s="9">
        <f t="shared" si="0"/>
        <v>8.3333333333333329E-2</v>
      </c>
    </row>
    <row r="14" spans="1:8" x14ac:dyDescent="0.35">
      <c r="A14" s="3" t="s">
        <v>30</v>
      </c>
      <c r="B14" s="4">
        <f>COUNTIF('IPL Raw Dataset'!$E$5:$E$124, A14)</f>
        <v>9</v>
      </c>
      <c r="C14" s="9">
        <f t="shared" si="0"/>
        <v>7.4999999999999997E-2</v>
      </c>
    </row>
    <row r="15" spans="1:8" x14ac:dyDescent="0.35">
      <c r="A15" s="3" t="s">
        <v>21</v>
      </c>
      <c r="B15" s="4">
        <f>COUNTIF('IPL Raw Dataset'!$E$5:$E$124, A15)</f>
        <v>9</v>
      </c>
      <c r="C15" s="9">
        <f t="shared" si="0"/>
        <v>7.4999999999999997E-2</v>
      </c>
    </row>
    <row r="16" spans="1:8" x14ac:dyDescent="0.35">
      <c r="A16" s="6" t="s">
        <v>36</v>
      </c>
      <c r="B16" s="7">
        <f>SUM(B6:B15)</f>
        <v>120</v>
      </c>
      <c r="C16" s="10">
        <f>SUM(C6:C15)</f>
        <v>1</v>
      </c>
    </row>
    <row r="18" spans="1:1" x14ac:dyDescent="0.35">
      <c r="A18" s="11" t="s">
        <v>52</v>
      </c>
    </row>
    <row r="19" spans="1:1" x14ac:dyDescent="0.35">
      <c r="A19" s="12" t="s">
        <v>53</v>
      </c>
    </row>
    <row r="20" spans="1:1" x14ac:dyDescent="0.35">
      <c r="A20" s="12" t="s">
        <v>54</v>
      </c>
    </row>
    <row r="21" spans="1:1" x14ac:dyDescent="0.35">
      <c r="A21" s="12" t="s">
        <v>55</v>
      </c>
    </row>
    <row r="23" spans="1:1" x14ac:dyDescent="0.35">
      <c r="A23" s="11" t="s">
        <v>56</v>
      </c>
    </row>
    <row r="24" spans="1:1" x14ac:dyDescent="0.35">
      <c r="A24" s="12" t="s">
        <v>57</v>
      </c>
    </row>
    <row r="25" spans="1:1" x14ac:dyDescent="0.35">
      <c r="A25" s="12" t="s">
        <v>58</v>
      </c>
    </row>
    <row r="26" spans="1:1" x14ac:dyDescent="0.35">
      <c r="A26" s="12" t="s">
        <v>59</v>
      </c>
    </row>
    <row r="27" spans="1:1" x14ac:dyDescent="0.35">
      <c r="A27" s="12" t="s">
        <v>60</v>
      </c>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workbookViewId="0"/>
  </sheetViews>
  <sheetFormatPr defaultRowHeight="14.5" x14ac:dyDescent="0.35"/>
  <cols>
    <col min="1" max="1" width="28" customWidth="1"/>
    <col min="2" max="4" width="123" customWidth="1"/>
    <col min="5" max="5" width="16" customWidth="1"/>
    <col min="6" max="6" width="34" customWidth="1"/>
    <col min="7" max="8" width="13" customWidth="1"/>
    <col min="9" max="9" width="107" customWidth="1"/>
  </cols>
  <sheetData>
    <row r="1" spans="1:9" ht="34" customHeight="1" x14ac:dyDescent="0.35">
      <c r="A1" s="24" t="s">
        <v>61</v>
      </c>
      <c r="B1" s="21"/>
      <c r="C1" s="21"/>
      <c r="D1" s="21"/>
      <c r="E1" s="21"/>
      <c r="F1" s="21"/>
      <c r="G1" s="21"/>
      <c r="H1" s="21"/>
      <c r="I1" s="21"/>
    </row>
    <row r="2" spans="1:9" ht="20" customHeight="1" x14ac:dyDescent="0.35">
      <c r="A2" s="27" t="s">
        <v>62</v>
      </c>
      <c r="B2" s="21"/>
      <c r="C2" s="21"/>
      <c r="D2" s="21"/>
      <c r="E2" s="21"/>
      <c r="F2" s="21"/>
      <c r="G2" s="21"/>
      <c r="H2" s="21"/>
      <c r="I2" s="21"/>
    </row>
    <row r="4" spans="1:9" ht="17" x14ac:dyDescent="0.4">
      <c r="A4" s="1" t="s">
        <v>63</v>
      </c>
    </row>
    <row r="5" spans="1:9" x14ac:dyDescent="0.35">
      <c r="A5" s="2" t="s">
        <v>13</v>
      </c>
      <c r="B5" s="2" t="s">
        <v>64</v>
      </c>
      <c r="C5" s="2" t="s">
        <v>65</v>
      </c>
      <c r="D5" s="2" t="s">
        <v>66</v>
      </c>
      <c r="E5" s="2" t="s">
        <v>67</v>
      </c>
      <c r="F5" s="2" t="s">
        <v>68</v>
      </c>
    </row>
    <row r="6" spans="1:9" x14ac:dyDescent="0.35">
      <c r="A6" s="3" t="s">
        <v>30</v>
      </c>
      <c r="B6" s="13">
        <f>COUNTIFS('IPL Raw Dataset'!$E$5:$E$124, A6, 'IPL Raw Dataset'!$C$5:$C$124, 2022, 'IPL Raw Dataset'!$H$5:$H$124, "Won")</f>
        <v>0</v>
      </c>
      <c r="C6" s="4">
        <f>COUNTIFS('IPL Raw Dataset'!$E$5:$E$124, A6, 'IPL Raw Dataset'!$C$5:$C$124, 2023, 'IPL Raw Dataset'!$H$5:$H$124, "Won")</f>
        <v>1</v>
      </c>
      <c r="D6" s="4">
        <f>COUNTIFS('IPL Raw Dataset'!$E$5:$E$124, A6, 'IPL Raw Dataset'!$C$5:$C$124, 2024, 'IPL Raw Dataset'!$H$5:$H$124, "Won")</f>
        <v>3</v>
      </c>
      <c r="E6" s="5">
        <f t="shared" ref="E6:E15" si="0">SUM(B6:D6)</f>
        <v>4</v>
      </c>
      <c r="F6" s="14" t="s">
        <v>69</v>
      </c>
    </row>
    <row r="7" spans="1:9" x14ac:dyDescent="0.35">
      <c r="A7" s="3" t="s">
        <v>19</v>
      </c>
      <c r="B7" s="4">
        <f>COUNTIFS('IPL Raw Dataset'!$E$5:$E$124, A7, 'IPL Raw Dataset'!$C$5:$C$124, 2022, 'IPL Raw Dataset'!$H$5:$H$124, "Won")</f>
        <v>4</v>
      </c>
      <c r="C7" s="13">
        <f>COUNTIFS('IPL Raw Dataset'!$E$5:$E$124, A7, 'IPL Raw Dataset'!$C$5:$C$124, 2023, 'IPL Raw Dataset'!$H$5:$H$124, "Won")</f>
        <v>2</v>
      </c>
      <c r="D7" s="4">
        <f>COUNTIFS('IPL Raw Dataset'!$E$5:$E$124, A7, 'IPL Raw Dataset'!$C$5:$C$124, 2024, 'IPL Raw Dataset'!$H$5:$H$124, "Won")</f>
        <v>2</v>
      </c>
      <c r="E7" s="5">
        <f t="shared" si="0"/>
        <v>8</v>
      </c>
      <c r="F7" s="14" t="s">
        <v>70</v>
      </c>
    </row>
    <row r="8" spans="1:9" x14ac:dyDescent="0.35">
      <c r="A8" s="3" t="s">
        <v>34</v>
      </c>
      <c r="B8" s="4">
        <f>COUNTIFS('IPL Raw Dataset'!$E$5:$E$124, A8, 'IPL Raw Dataset'!$C$5:$C$124, 2022, 'IPL Raw Dataset'!$H$5:$H$124, "Won")</f>
        <v>0</v>
      </c>
      <c r="C8" s="4">
        <f>COUNTIFS('IPL Raw Dataset'!$E$5:$E$124, A8, 'IPL Raw Dataset'!$C$5:$C$124, 2023, 'IPL Raw Dataset'!$H$5:$H$124, "Won")</f>
        <v>3</v>
      </c>
      <c r="D8" s="4">
        <f>COUNTIFS('IPL Raw Dataset'!$E$5:$E$124, A8, 'IPL Raw Dataset'!$C$5:$C$124, 2024, 'IPL Raw Dataset'!$H$5:$H$124, "Won")</f>
        <v>0</v>
      </c>
      <c r="E8" s="5">
        <f t="shared" si="0"/>
        <v>3</v>
      </c>
      <c r="F8" s="15" t="s">
        <v>71</v>
      </c>
    </row>
    <row r="9" spans="1:9" x14ac:dyDescent="0.35">
      <c r="A9" s="3" t="s">
        <v>25</v>
      </c>
      <c r="B9" s="4">
        <f>COUNTIFS('IPL Raw Dataset'!$E$5:$E$124, A9, 'IPL Raw Dataset'!$C$5:$C$124, 2022, 'IPL Raw Dataset'!$H$5:$H$124, "Won")</f>
        <v>1</v>
      </c>
      <c r="C9" s="4">
        <f>COUNTIFS('IPL Raw Dataset'!$E$5:$E$124, A9, 'IPL Raw Dataset'!$C$5:$C$124, 2023, 'IPL Raw Dataset'!$H$5:$H$124, "Won")</f>
        <v>2</v>
      </c>
      <c r="D9" s="4">
        <f>COUNTIFS('IPL Raw Dataset'!$E$5:$E$124, A9, 'IPL Raw Dataset'!$C$5:$C$124, 2024, 'IPL Raw Dataset'!$H$5:$H$124, "Won")</f>
        <v>2</v>
      </c>
      <c r="E9" s="5">
        <f t="shared" si="0"/>
        <v>5</v>
      </c>
      <c r="F9" s="15" t="s">
        <v>71</v>
      </c>
    </row>
    <row r="10" spans="1:9" x14ac:dyDescent="0.35">
      <c r="A10" s="3" t="s">
        <v>27</v>
      </c>
      <c r="B10" s="4">
        <f>COUNTIFS('IPL Raw Dataset'!$E$5:$E$124, A10, 'IPL Raw Dataset'!$C$5:$C$124, 2022, 'IPL Raw Dataset'!$H$5:$H$124, "Won")</f>
        <v>1</v>
      </c>
      <c r="C10" s="4">
        <f>COUNTIFS('IPL Raw Dataset'!$E$5:$E$124, A10, 'IPL Raw Dataset'!$C$5:$C$124, 2023, 'IPL Raw Dataset'!$H$5:$H$124, "Won")</f>
        <v>2</v>
      </c>
      <c r="D10" s="13">
        <f>COUNTIFS('IPL Raw Dataset'!$E$5:$E$124, A10, 'IPL Raw Dataset'!$C$5:$C$124, 2024, 'IPL Raw Dataset'!$H$5:$H$124, "Won")</f>
        <v>2</v>
      </c>
      <c r="E10" s="5">
        <f t="shared" si="0"/>
        <v>5</v>
      </c>
      <c r="F10" s="14" t="s">
        <v>72</v>
      </c>
    </row>
    <row r="11" spans="1:9" x14ac:dyDescent="0.35">
      <c r="A11" s="3" t="s">
        <v>21</v>
      </c>
      <c r="B11" s="4">
        <f>COUNTIFS('IPL Raw Dataset'!$E$5:$E$124, A11, 'IPL Raw Dataset'!$C$5:$C$124, 2022, 'IPL Raw Dataset'!$H$5:$H$124, "Won")</f>
        <v>5</v>
      </c>
      <c r="C11" s="4">
        <f>COUNTIFS('IPL Raw Dataset'!$E$5:$E$124, A11, 'IPL Raw Dataset'!$C$5:$C$124, 2023, 'IPL Raw Dataset'!$H$5:$H$124, "Won")</f>
        <v>2</v>
      </c>
      <c r="D11" s="4">
        <f>COUNTIFS('IPL Raw Dataset'!$E$5:$E$124, A11, 'IPL Raw Dataset'!$C$5:$C$124, 2024, 'IPL Raw Dataset'!$H$5:$H$124, "Won")</f>
        <v>0</v>
      </c>
      <c r="E11" s="5">
        <f t="shared" si="0"/>
        <v>7</v>
      </c>
      <c r="F11" s="15" t="s">
        <v>71</v>
      </c>
    </row>
    <row r="12" spans="1:9" x14ac:dyDescent="0.35">
      <c r="A12" s="3" t="s">
        <v>17</v>
      </c>
      <c r="B12" s="4">
        <f>COUNTIFS('IPL Raw Dataset'!$E$5:$E$124, A12, 'IPL Raw Dataset'!$C$5:$C$124, 2022, 'IPL Raw Dataset'!$H$5:$H$124, "Won")</f>
        <v>5</v>
      </c>
      <c r="C12" s="4">
        <f>COUNTIFS('IPL Raw Dataset'!$E$5:$E$124, A12, 'IPL Raw Dataset'!$C$5:$C$124, 2023, 'IPL Raw Dataset'!$H$5:$H$124, "Won")</f>
        <v>3</v>
      </c>
      <c r="D12" s="4">
        <f>COUNTIFS('IPL Raw Dataset'!$E$5:$E$124, A12, 'IPL Raw Dataset'!$C$5:$C$124, 2024, 'IPL Raw Dataset'!$H$5:$H$124, "Won")</f>
        <v>3</v>
      </c>
      <c r="E12" s="5">
        <f t="shared" si="0"/>
        <v>11</v>
      </c>
      <c r="F12" s="15" t="s">
        <v>71</v>
      </c>
    </row>
    <row r="13" spans="1:9" x14ac:dyDescent="0.35">
      <c r="A13" s="3" t="s">
        <v>32</v>
      </c>
      <c r="B13" s="4">
        <f>COUNTIFS('IPL Raw Dataset'!$E$5:$E$124, A13, 'IPL Raw Dataset'!$C$5:$C$124, 2022, 'IPL Raw Dataset'!$H$5:$H$124, "Won")</f>
        <v>2</v>
      </c>
      <c r="C13" s="4">
        <f>COUNTIFS('IPL Raw Dataset'!$E$5:$E$124, A13, 'IPL Raw Dataset'!$C$5:$C$124, 2023, 'IPL Raw Dataset'!$H$5:$H$124, "Won")</f>
        <v>0</v>
      </c>
      <c r="D13" s="4">
        <f>COUNTIFS('IPL Raw Dataset'!$E$5:$E$124, A13, 'IPL Raw Dataset'!$C$5:$C$124, 2024, 'IPL Raw Dataset'!$H$5:$H$124, "Won")</f>
        <v>2</v>
      </c>
      <c r="E13" s="5">
        <f t="shared" si="0"/>
        <v>4</v>
      </c>
      <c r="F13" s="15" t="s">
        <v>71</v>
      </c>
    </row>
    <row r="14" spans="1:9" x14ac:dyDescent="0.35">
      <c r="A14" s="3" t="s">
        <v>23</v>
      </c>
      <c r="B14" s="4">
        <f>COUNTIFS('IPL Raw Dataset'!$E$5:$E$124, A14, 'IPL Raw Dataset'!$C$5:$C$124, 2022, 'IPL Raw Dataset'!$H$5:$H$124, "Won")</f>
        <v>0</v>
      </c>
      <c r="C14" s="4">
        <f>COUNTIFS('IPL Raw Dataset'!$E$5:$E$124, A14, 'IPL Raw Dataset'!$C$5:$C$124, 2023, 'IPL Raw Dataset'!$H$5:$H$124, "Won")</f>
        <v>3</v>
      </c>
      <c r="D14" s="4">
        <f>COUNTIFS('IPL Raw Dataset'!$E$5:$E$124, A14, 'IPL Raw Dataset'!$C$5:$C$124, 2024, 'IPL Raw Dataset'!$H$5:$H$124, "Won")</f>
        <v>3</v>
      </c>
      <c r="E14" s="5">
        <f t="shared" si="0"/>
        <v>6</v>
      </c>
      <c r="F14" s="15" t="s">
        <v>71</v>
      </c>
    </row>
    <row r="15" spans="1:9" x14ac:dyDescent="0.35">
      <c r="A15" s="3" t="s">
        <v>28</v>
      </c>
      <c r="B15" s="4">
        <f>COUNTIFS('IPL Raw Dataset'!$E$5:$E$124, A15, 'IPL Raw Dataset'!$C$5:$C$124, 2022, 'IPL Raw Dataset'!$H$5:$H$124, "Won")</f>
        <v>0</v>
      </c>
      <c r="C15" s="4">
        <f>COUNTIFS('IPL Raw Dataset'!$E$5:$E$124, A15, 'IPL Raw Dataset'!$C$5:$C$124, 2023, 'IPL Raw Dataset'!$H$5:$H$124, "Won")</f>
        <v>3</v>
      </c>
      <c r="D15" s="4">
        <f>COUNTIFS('IPL Raw Dataset'!$E$5:$E$124, A15, 'IPL Raw Dataset'!$C$5:$C$124, 2024, 'IPL Raw Dataset'!$H$5:$H$124, "Won")</f>
        <v>2</v>
      </c>
      <c r="E15" s="5">
        <f t="shared" si="0"/>
        <v>5</v>
      </c>
      <c r="F15" s="15" t="s">
        <v>71</v>
      </c>
    </row>
    <row r="16" spans="1:9" x14ac:dyDescent="0.35">
      <c r="A16" s="6" t="s">
        <v>36</v>
      </c>
      <c r="B16" s="7">
        <f>SUM(B6:B15)</f>
        <v>18</v>
      </c>
      <c r="C16" s="7">
        <f>SUM(C6:C15)</f>
        <v>21</v>
      </c>
      <c r="D16" s="7">
        <f>SUM(D6:D15)</f>
        <v>19</v>
      </c>
      <c r="E16" s="7">
        <f>SUM(E6:E15)</f>
        <v>58</v>
      </c>
      <c r="F16" s="16"/>
    </row>
    <row r="18" spans="9:9" x14ac:dyDescent="0.35">
      <c r="I18" s="11" t="s">
        <v>73</v>
      </c>
    </row>
    <row r="19" spans="9:9" x14ac:dyDescent="0.35">
      <c r="I19" s="12" t="s">
        <v>74</v>
      </c>
    </row>
    <row r="20" spans="9:9" x14ac:dyDescent="0.35">
      <c r="I20" s="12" t="s">
        <v>75</v>
      </c>
    </row>
    <row r="21" spans="9:9" x14ac:dyDescent="0.35">
      <c r="I21" s="12" t="s">
        <v>76</v>
      </c>
    </row>
    <row r="22" spans="9:9" x14ac:dyDescent="0.35">
      <c r="I22" s="12" t="s">
        <v>77</v>
      </c>
    </row>
  </sheetData>
  <mergeCells count="2">
    <mergeCell ref="A1:I1"/>
    <mergeCell ref="A2:I2"/>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4"/>
  <sheetViews>
    <sheetView workbookViewId="0"/>
  </sheetViews>
  <sheetFormatPr defaultRowHeight="14.5" x14ac:dyDescent="0.35"/>
  <cols>
    <col min="1" max="1" width="94" customWidth="1"/>
    <col min="2" max="4" width="13" customWidth="1"/>
    <col min="5" max="6" width="30" customWidth="1"/>
    <col min="7" max="7" width="36" customWidth="1"/>
    <col min="8" max="10" width="13" customWidth="1"/>
    <col min="11" max="11" width="14" customWidth="1"/>
    <col min="12" max="12" width="16" customWidth="1"/>
  </cols>
  <sheetData>
    <row r="1" spans="1:12" ht="34" customHeight="1" x14ac:dyDescent="0.35">
      <c r="A1" s="24" t="s">
        <v>78</v>
      </c>
      <c r="B1" s="21"/>
      <c r="C1" s="21"/>
      <c r="D1" s="21"/>
      <c r="E1" s="21"/>
      <c r="F1" s="21"/>
      <c r="G1" s="21"/>
      <c r="H1" s="21"/>
      <c r="I1" s="21"/>
      <c r="J1" s="21"/>
      <c r="K1" s="21"/>
      <c r="L1" s="21"/>
    </row>
    <row r="2" spans="1:12" ht="20" customHeight="1" x14ac:dyDescent="0.35">
      <c r="A2" s="27" t="s">
        <v>79</v>
      </c>
      <c r="B2" s="21"/>
      <c r="C2" s="21"/>
      <c r="D2" s="21"/>
      <c r="E2" s="21"/>
      <c r="F2" s="21"/>
      <c r="G2" s="21"/>
      <c r="H2" s="21"/>
      <c r="I2" s="21"/>
      <c r="J2" s="21"/>
      <c r="K2" s="21"/>
      <c r="L2" s="21"/>
    </row>
    <row r="4" spans="1:12" ht="24" customHeight="1" x14ac:dyDescent="0.35">
      <c r="A4" s="17" t="s">
        <v>80</v>
      </c>
      <c r="B4" s="17" t="s">
        <v>81</v>
      </c>
      <c r="C4" s="17" t="s">
        <v>82</v>
      </c>
      <c r="D4" s="17" t="s">
        <v>83</v>
      </c>
      <c r="E4" s="17" t="s">
        <v>84</v>
      </c>
      <c r="F4" s="17" t="s">
        <v>85</v>
      </c>
      <c r="G4" s="17" t="s">
        <v>86</v>
      </c>
      <c r="H4" s="17" t="s">
        <v>87</v>
      </c>
      <c r="I4" s="17" t="s">
        <v>88</v>
      </c>
      <c r="J4" s="17" t="s">
        <v>89</v>
      </c>
      <c r="K4" s="17" t="s">
        <v>90</v>
      </c>
      <c r="L4" s="17" t="s">
        <v>91</v>
      </c>
    </row>
    <row r="5" spans="1:12" x14ac:dyDescent="0.35">
      <c r="A5" s="4" t="s">
        <v>92</v>
      </c>
      <c r="B5" s="4" t="s">
        <v>93</v>
      </c>
      <c r="C5" s="4">
        <v>2022</v>
      </c>
      <c r="D5" s="4" t="s">
        <v>45</v>
      </c>
      <c r="E5" s="15" t="s">
        <v>19</v>
      </c>
      <c r="F5" s="15" t="s">
        <v>30</v>
      </c>
      <c r="G5" s="15" t="s">
        <v>94</v>
      </c>
      <c r="H5" s="4" t="s">
        <v>95</v>
      </c>
      <c r="I5" s="4">
        <v>0</v>
      </c>
      <c r="J5" s="4">
        <v>1</v>
      </c>
      <c r="K5" s="18">
        <v>173</v>
      </c>
      <c r="L5" s="18">
        <v>5</v>
      </c>
    </row>
    <row r="6" spans="1:12" x14ac:dyDescent="0.35">
      <c r="A6" s="4" t="s">
        <v>96</v>
      </c>
      <c r="B6" s="4" t="s">
        <v>97</v>
      </c>
      <c r="C6" s="4">
        <v>2022</v>
      </c>
      <c r="D6" s="4" t="s">
        <v>45</v>
      </c>
      <c r="E6" s="15" t="s">
        <v>19</v>
      </c>
      <c r="F6" s="15" t="s">
        <v>23</v>
      </c>
      <c r="G6" s="15" t="s">
        <v>98</v>
      </c>
      <c r="H6" s="4" t="s">
        <v>95</v>
      </c>
      <c r="I6" s="4">
        <v>0</v>
      </c>
      <c r="J6" s="4">
        <v>1</v>
      </c>
      <c r="K6" s="18">
        <v>149</v>
      </c>
      <c r="L6" s="18">
        <v>4</v>
      </c>
    </row>
    <row r="7" spans="1:12" x14ac:dyDescent="0.35">
      <c r="A7" s="4" t="s">
        <v>99</v>
      </c>
      <c r="B7" s="4" t="s">
        <v>100</v>
      </c>
      <c r="C7" s="4">
        <v>2022</v>
      </c>
      <c r="D7" s="4" t="s">
        <v>45</v>
      </c>
      <c r="E7" s="15" t="s">
        <v>19</v>
      </c>
      <c r="F7" s="15" t="s">
        <v>25</v>
      </c>
      <c r="G7" s="15" t="s">
        <v>101</v>
      </c>
      <c r="H7" s="4" t="s">
        <v>102</v>
      </c>
      <c r="I7" s="4">
        <v>1</v>
      </c>
      <c r="J7" s="4">
        <v>1</v>
      </c>
      <c r="K7" s="18">
        <v>170</v>
      </c>
      <c r="L7" s="18">
        <v>9</v>
      </c>
    </row>
    <row r="8" spans="1:12" x14ac:dyDescent="0.35">
      <c r="A8" s="4" t="s">
        <v>103</v>
      </c>
      <c r="B8" s="4" t="s">
        <v>104</v>
      </c>
      <c r="C8" s="4">
        <v>2022</v>
      </c>
      <c r="D8" s="4" t="s">
        <v>46</v>
      </c>
      <c r="E8" s="15" t="s">
        <v>23</v>
      </c>
      <c r="F8" s="15" t="s">
        <v>17</v>
      </c>
      <c r="G8" s="15" t="s">
        <v>101</v>
      </c>
      <c r="H8" s="4" t="s">
        <v>95</v>
      </c>
      <c r="I8" s="4">
        <v>0</v>
      </c>
      <c r="J8" s="4">
        <v>1</v>
      </c>
      <c r="K8" s="18">
        <v>180</v>
      </c>
      <c r="L8" s="18">
        <v>4</v>
      </c>
    </row>
    <row r="9" spans="1:12" x14ac:dyDescent="0.35">
      <c r="A9" s="4" t="s">
        <v>105</v>
      </c>
      <c r="B9" s="4" t="s">
        <v>106</v>
      </c>
      <c r="C9" s="4">
        <v>2022</v>
      </c>
      <c r="D9" s="4" t="s">
        <v>46</v>
      </c>
      <c r="E9" s="15" t="s">
        <v>34</v>
      </c>
      <c r="F9" s="15" t="s">
        <v>17</v>
      </c>
      <c r="G9" s="15" t="s">
        <v>107</v>
      </c>
      <c r="H9" s="4" t="s">
        <v>95</v>
      </c>
      <c r="I9" s="4">
        <v>0</v>
      </c>
      <c r="J9" s="4">
        <v>1</v>
      </c>
      <c r="K9" s="18">
        <v>164</v>
      </c>
      <c r="L9" s="18">
        <v>5</v>
      </c>
    </row>
    <row r="10" spans="1:12" x14ac:dyDescent="0.35">
      <c r="A10" s="4" t="s">
        <v>108</v>
      </c>
      <c r="B10" s="4" t="s">
        <v>109</v>
      </c>
      <c r="C10" s="4">
        <v>2022</v>
      </c>
      <c r="D10" s="4" t="s">
        <v>46</v>
      </c>
      <c r="E10" s="15" t="s">
        <v>21</v>
      </c>
      <c r="F10" s="15" t="s">
        <v>19</v>
      </c>
      <c r="G10" s="15" t="s">
        <v>98</v>
      </c>
      <c r="H10" s="4" t="s">
        <v>102</v>
      </c>
      <c r="I10" s="4">
        <v>1</v>
      </c>
      <c r="J10" s="4">
        <v>1</v>
      </c>
      <c r="K10" s="18">
        <v>190</v>
      </c>
      <c r="L10" s="18">
        <v>6</v>
      </c>
    </row>
    <row r="11" spans="1:12" x14ac:dyDescent="0.35">
      <c r="A11" s="4" t="s">
        <v>110</v>
      </c>
      <c r="B11" s="4" t="s">
        <v>111</v>
      </c>
      <c r="C11" s="4">
        <v>2022</v>
      </c>
      <c r="D11" s="4" t="s">
        <v>46</v>
      </c>
      <c r="E11" s="15" t="s">
        <v>28</v>
      </c>
      <c r="F11" s="15" t="s">
        <v>27</v>
      </c>
      <c r="G11" s="15" t="s">
        <v>98</v>
      </c>
      <c r="H11" s="4" t="s">
        <v>95</v>
      </c>
      <c r="I11" s="4">
        <v>0</v>
      </c>
      <c r="J11" s="4">
        <v>1</v>
      </c>
      <c r="K11" s="18">
        <v>213</v>
      </c>
      <c r="L11" s="18">
        <v>4</v>
      </c>
    </row>
    <row r="12" spans="1:12" x14ac:dyDescent="0.35">
      <c r="A12" s="4" t="s">
        <v>112</v>
      </c>
      <c r="B12" s="4" t="s">
        <v>113</v>
      </c>
      <c r="C12" s="4">
        <v>2022</v>
      </c>
      <c r="D12" s="4" t="s">
        <v>46</v>
      </c>
      <c r="E12" s="15" t="s">
        <v>17</v>
      </c>
      <c r="F12" s="15" t="s">
        <v>19</v>
      </c>
      <c r="G12" s="15" t="s">
        <v>114</v>
      </c>
      <c r="H12" s="4" t="s">
        <v>95</v>
      </c>
      <c r="I12" s="4">
        <v>0</v>
      </c>
      <c r="J12" s="4">
        <v>1</v>
      </c>
      <c r="K12" s="18">
        <v>191</v>
      </c>
      <c r="L12" s="18">
        <v>8</v>
      </c>
    </row>
    <row r="13" spans="1:12" x14ac:dyDescent="0.35">
      <c r="A13" s="4" t="s">
        <v>115</v>
      </c>
      <c r="B13" s="4" t="s">
        <v>116</v>
      </c>
      <c r="C13" s="4">
        <v>2022</v>
      </c>
      <c r="D13" s="4" t="s">
        <v>46</v>
      </c>
      <c r="E13" s="15" t="s">
        <v>25</v>
      </c>
      <c r="F13" s="15" t="s">
        <v>19</v>
      </c>
      <c r="G13" s="15" t="s">
        <v>98</v>
      </c>
      <c r="H13" s="4" t="s">
        <v>102</v>
      </c>
      <c r="I13" s="4">
        <v>1</v>
      </c>
      <c r="J13" s="4">
        <v>1</v>
      </c>
      <c r="K13" s="18">
        <v>182</v>
      </c>
      <c r="L13" s="18">
        <v>4</v>
      </c>
    </row>
    <row r="14" spans="1:12" x14ac:dyDescent="0.35">
      <c r="A14" s="4" t="s">
        <v>117</v>
      </c>
      <c r="B14" s="4" t="s">
        <v>118</v>
      </c>
      <c r="C14" s="4">
        <v>2022</v>
      </c>
      <c r="D14" s="4" t="s">
        <v>46</v>
      </c>
      <c r="E14" s="15" t="s">
        <v>25</v>
      </c>
      <c r="F14" s="15" t="s">
        <v>19</v>
      </c>
      <c r="G14" s="15" t="s">
        <v>119</v>
      </c>
      <c r="H14" s="4" t="s">
        <v>95</v>
      </c>
      <c r="I14" s="4">
        <v>0</v>
      </c>
      <c r="J14" s="4">
        <v>1</v>
      </c>
      <c r="K14" s="18">
        <v>203</v>
      </c>
      <c r="L14" s="18">
        <v>9</v>
      </c>
    </row>
    <row r="15" spans="1:12" x14ac:dyDescent="0.35">
      <c r="A15" s="4" t="s">
        <v>120</v>
      </c>
      <c r="B15" s="4" t="s">
        <v>121</v>
      </c>
      <c r="C15" s="4">
        <v>2022</v>
      </c>
      <c r="D15" s="4" t="s">
        <v>46</v>
      </c>
      <c r="E15" s="15" t="s">
        <v>21</v>
      </c>
      <c r="F15" s="15" t="s">
        <v>34</v>
      </c>
      <c r="G15" s="15" t="s">
        <v>107</v>
      </c>
      <c r="H15" s="4" t="s">
        <v>102</v>
      </c>
      <c r="I15" s="4">
        <v>1</v>
      </c>
      <c r="J15" s="4">
        <v>1</v>
      </c>
      <c r="K15" s="18">
        <v>179</v>
      </c>
      <c r="L15" s="18">
        <v>9</v>
      </c>
    </row>
    <row r="16" spans="1:12" x14ac:dyDescent="0.35">
      <c r="A16" s="4" t="s">
        <v>122</v>
      </c>
      <c r="B16" s="4" t="s">
        <v>123</v>
      </c>
      <c r="C16" s="4">
        <v>2022</v>
      </c>
      <c r="D16" s="4" t="s">
        <v>46</v>
      </c>
      <c r="E16" s="15" t="s">
        <v>19</v>
      </c>
      <c r="F16" s="15" t="s">
        <v>34</v>
      </c>
      <c r="G16" s="15" t="s">
        <v>114</v>
      </c>
      <c r="H16" s="4" t="s">
        <v>102</v>
      </c>
      <c r="I16" s="4">
        <v>1</v>
      </c>
      <c r="J16" s="4">
        <v>1</v>
      </c>
      <c r="K16" s="18">
        <v>165</v>
      </c>
      <c r="L16" s="18">
        <v>7</v>
      </c>
    </row>
    <row r="17" spans="1:12" x14ac:dyDescent="0.35">
      <c r="A17" s="4" t="s">
        <v>124</v>
      </c>
      <c r="B17" s="4" t="s">
        <v>125</v>
      </c>
      <c r="C17" s="4">
        <v>2022</v>
      </c>
      <c r="D17" s="4" t="s">
        <v>46</v>
      </c>
      <c r="E17" s="15" t="s">
        <v>17</v>
      </c>
      <c r="F17" s="15" t="s">
        <v>27</v>
      </c>
      <c r="G17" s="15" t="s">
        <v>94</v>
      </c>
      <c r="H17" s="4" t="s">
        <v>102</v>
      </c>
      <c r="I17" s="4">
        <v>1</v>
      </c>
      <c r="J17" s="4">
        <v>1</v>
      </c>
      <c r="K17" s="18">
        <v>186</v>
      </c>
      <c r="L17" s="18">
        <v>4</v>
      </c>
    </row>
    <row r="18" spans="1:12" x14ac:dyDescent="0.35">
      <c r="A18" s="4" t="s">
        <v>126</v>
      </c>
      <c r="B18" s="4" t="s">
        <v>127</v>
      </c>
      <c r="C18" s="4">
        <v>2022</v>
      </c>
      <c r="D18" s="4" t="s">
        <v>46</v>
      </c>
      <c r="E18" s="15" t="s">
        <v>25</v>
      </c>
      <c r="F18" s="15" t="s">
        <v>30</v>
      </c>
      <c r="G18" s="15" t="s">
        <v>107</v>
      </c>
      <c r="H18" s="4" t="s">
        <v>95</v>
      </c>
      <c r="I18" s="4">
        <v>0</v>
      </c>
      <c r="J18" s="4">
        <v>1</v>
      </c>
      <c r="K18" s="18">
        <v>153</v>
      </c>
      <c r="L18" s="18">
        <v>5</v>
      </c>
    </row>
    <row r="19" spans="1:12" x14ac:dyDescent="0.35">
      <c r="A19" s="4" t="s">
        <v>128</v>
      </c>
      <c r="B19" s="4" t="s">
        <v>129</v>
      </c>
      <c r="C19" s="4">
        <v>2022</v>
      </c>
      <c r="D19" s="4" t="s">
        <v>46</v>
      </c>
      <c r="E19" s="15" t="s">
        <v>28</v>
      </c>
      <c r="F19" s="15" t="s">
        <v>21</v>
      </c>
      <c r="G19" s="15" t="s">
        <v>101</v>
      </c>
      <c r="H19" s="4" t="s">
        <v>95</v>
      </c>
      <c r="I19" s="4">
        <v>0</v>
      </c>
      <c r="J19" s="4">
        <v>1</v>
      </c>
      <c r="K19" s="18">
        <v>195</v>
      </c>
      <c r="L19" s="18">
        <v>9</v>
      </c>
    </row>
    <row r="20" spans="1:12" x14ac:dyDescent="0.35">
      <c r="A20" s="4" t="s">
        <v>130</v>
      </c>
      <c r="B20" s="4" t="s">
        <v>131</v>
      </c>
      <c r="C20" s="4">
        <v>2022</v>
      </c>
      <c r="D20" s="4" t="s">
        <v>46</v>
      </c>
      <c r="E20" s="15" t="s">
        <v>32</v>
      </c>
      <c r="F20" s="15" t="s">
        <v>34</v>
      </c>
      <c r="G20" s="15" t="s">
        <v>107</v>
      </c>
      <c r="H20" s="4" t="s">
        <v>102</v>
      </c>
      <c r="I20" s="4">
        <v>1</v>
      </c>
      <c r="J20" s="4">
        <v>1</v>
      </c>
      <c r="K20" s="18">
        <v>176</v>
      </c>
      <c r="L20" s="18">
        <v>9</v>
      </c>
    </row>
    <row r="21" spans="1:12" x14ac:dyDescent="0.35">
      <c r="A21" s="4" t="s">
        <v>132</v>
      </c>
      <c r="B21" s="4" t="s">
        <v>133</v>
      </c>
      <c r="C21" s="4">
        <v>2022</v>
      </c>
      <c r="D21" s="4" t="s">
        <v>46</v>
      </c>
      <c r="E21" s="15" t="s">
        <v>23</v>
      </c>
      <c r="F21" s="15" t="s">
        <v>28</v>
      </c>
      <c r="G21" s="15" t="s">
        <v>107</v>
      </c>
      <c r="H21" s="4" t="s">
        <v>95</v>
      </c>
      <c r="I21" s="4">
        <v>0</v>
      </c>
      <c r="J21" s="4">
        <v>1</v>
      </c>
      <c r="K21" s="18">
        <v>196</v>
      </c>
      <c r="L21" s="18">
        <v>6</v>
      </c>
    </row>
    <row r="22" spans="1:12" x14ac:dyDescent="0.35">
      <c r="A22" s="4" t="s">
        <v>134</v>
      </c>
      <c r="B22" s="4" t="s">
        <v>135</v>
      </c>
      <c r="C22" s="4">
        <v>2022</v>
      </c>
      <c r="D22" s="4" t="s">
        <v>46</v>
      </c>
      <c r="E22" s="15" t="s">
        <v>25</v>
      </c>
      <c r="F22" s="15" t="s">
        <v>34</v>
      </c>
      <c r="G22" s="15" t="s">
        <v>114</v>
      </c>
      <c r="H22" s="4" t="s">
        <v>95</v>
      </c>
      <c r="I22" s="4">
        <v>0</v>
      </c>
      <c r="J22" s="4">
        <v>1</v>
      </c>
      <c r="K22" s="18">
        <v>156</v>
      </c>
      <c r="L22" s="18">
        <v>4</v>
      </c>
    </row>
    <row r="23" spans="1:12" x14ac:dyDescent="0.35">
      <c r="A23" s="4" t="s">
        <v>136</v>
      </c>
      <c r="B23" s="4" t="s">
        <v>137</v>
      </c>
      <c r="C23" s="4">
        <v>2022</v>
      </c>
      <c r="D23" s="4" t="s">
        <v>47</v>
      </c>
      <c r="E23" s="15" t="s">
        <v>19</v>
      </c>
      <c r="F23" s="15" t="s">
        <v>34</v>
      </c>
      <c r="G23" s="15" t="s">
        <v>94</v>
      </c>
      <c r="H23" s="4" t="s">
        <v>102</v>
      </c>
      <c r="I23" s="4">
        <v>1</v>
      </c>
      <c r="J23" s="4">
        <v>1</v>
      </c>
      <c r="K23" s="18">
        <v>199</v>
      </c>
      <c r="L23" s="18">
        <v>8</v>
      </c>
    </row>
    <row r="24" spans="1:12" x14ac:dyDescent="0.35">
      <c r="A24" s="4" t="s">
        <v>138</v>
      </c>
      <c r="B24" s="4" t="s">
        <v>139</v>
      </c>
      <c r="C24" s="4">
        <v>2022</v>
      </c>
      <c r="D24" s="4" t="s">
        <v>47</v>
      </c>
      <c r="E24" s="15" t="s">
        <v>19</v>
      </c>
      <c r="F24" s="15" t="s">
        <v>17</v>
      </c>
      <c r="G24" s="15" t="s">
        <v>119</v>
      </c>
      <c r="H24" s="4" t="s">
        <v>95</v>
      </c>
      <c r="I24" s="4">
        <v>0</v>
      </c>
      <c r="J24" s="4">
        <v>1</v>
      </c>
      <c r="K24" s="18">
        <v>212</v>
      </c>
      <c r="L24" s="18">
        <v>6</v>
      </c>
    </row>
    <row r="25" spans="1:12" x14ac:dyDescent="0.35">
      <c r="A25" s="4" t="s">
        <v>140</v>
      </c>
      <c r="B25" s="4" t="s">
        <v>141</v>
      </c>
      <c r="C25" s="4">
        <v>2022</v>
      </c>
      <c r="D25" s="4" t="s">
        <v>47</v>
      </c>
      <c r="E25" s="15" t="s">
        <v>23</v>
      </c>
      <c r="F25" s="15" t="s">
        <v>30</v>
      </c>
      <c r="G25" s="15" t="s">
        <v>94</v>
      </c>
      <c r="H25" s="4" t="s">
        <v>95</v>
      </c>
      <c r="I25" s="4">
        <v>0</v>
      </c>
      <c r="J25" s="4">
        <v>1</v>
      </c>
      <c r="K25" s="18">
        <v>213</v>
      </c>
      <c r="L25" s="18">
        <v>6</v>
      </c>
    </row>
    <row r="26" spans="1:12" x14ac:dyDescent="0.35">
      <c r="A26" s="4" t="s">
        <v>142</v>
      </c>
      <c r="B26" s="4" t="s">
        <v>143</v>
      </c>
      <c r="C26" s="4">
        <v>2022</v>
      </c>
      <c r="D26" s="4" t="s">
        <v>47</v>
      </c>
      <c r="E26" s="15" t="s">
        <v>21</v>
      </c>
      <c r="F26" s="15" t="s">
        <v>19</v>
      </c>
      <c r="G26" s="15" t="s">
        <v>107</v>
      </c>
      <c r="H26" s="4" t="s">
        <v>102</v>
      </c>
      <c r="I26" s="4">
        <v>1</v>
      </c>
      <c r="J26" s="4">
        <v>1</v>
      </c>
      <c r="K26" s="18">
        <v>203</v>
      </c>
      <c r="L26" s="18">
        <v>4</v>
      </c>
    </row>
    <row r="27" spans="1:12" x14ac:dyDescent="0.35">
      <c r="A27" s="4" t="s">
        <v>144</v>
      </c>
      <c r="B27" s="4" t="s">
        <v>145</v>
      </c>
      <c r="C27" s="4">
        <v>2022</v>
      </c>
      <c r="D27" s="4" t="s">
        <v>47</v>
      </c>
      <c r="E27" s="15" t="s">
        <v>27</v>
      </c>
      <c r="F27" s="15" t="s">
        <v>23</v>
      </c>
      <c r="G27" s="15" t="s">
        <v>101</v>
      </c>
      <c r="H27" s="4" t="s">
        <v>102</v>
      </c>
      <c r="I27" s="4">
        <v>1</v>
      </c>
      <c r="J27" s="4">
        <v>1</v>
      </c>
      <c r="K27" s="18">
        <v>183</v>
      </c>
      <c r="L27" s="18">
        <v>9</v>
      </c>
    </row>
    <row r="28" spans="1:12" x14ac:dyDescent="0.35">
      <c r="A28" s="4" t="s">
        <v>146</v>
      </c>
      <c r="B28" s="4" t="s">
        <v>147</v>
      </c>
      <c r="C28" s="4">
        <v>2022</v>
      </c>
      <c r="D28" s="4" t="s">
        <v>47</v>
      </c>
      <c r="E28" s="15" t="s">
        <v>23</v>
      </c>
      <c r="F28" s="15" t="s">
        <v>25</v>
      </c>
      <c r="G28" s="15" t="s">
        <v>101</v>
      </c>
      <c r="H28" s="4" t="s">
        <v>95</v>
      </c>
      <c r="I28" s="4">
        <v>0</v>
      </c>
      <c r="J28" s="4">
        <v>1</v>
      </c>
      <c r="K28" s="18">
        <v>165</v>
      </c>
      <c r="L28" s="18">
        <v>8</v>
      </c>
    </row>
    <row r="29" spans="1:12" x14ac:dyDescent="0.35">
      <c r="A29" s="4" t="s">
        <v>148</v>
      </c>
      <c r="B29" s="4" t="s">
        <v>149</v>
      </c>
      <c r="C29" s="4">
        <v>2022</v>
      </c>
      <c r="D29" s="4" t="s">
        <v>47</v>
      </c>
      <c r="E29" s="15" t="s">
        <v>23</v>
      </c>
      <c r="F29" s="15" t="s">
        <v>30</v>
      </c>
      <c r="G29" s="15" t="s">
        <v>114</v>
      </c>
      <c r="H29" s="4" t="s">
        <v>95</v>
      </c>
      <c r="I29" s="4">
        <v>0</v>
      </c>
      <c r="J29" s="4">
        <v>1</v>
      </c>
      <c r="K29" s="18">
        <v>147</v>
      </c>
      <c r="L29" s="18">
        <v>4</v>
      </c>
    </row>
    <row r="30" spans="1:12" x14ac:dyDescent="0.35">
      <c r="A30" s="4" t="s">
        <v>150</v>
      </c>
      <c r="B30" s="4" t="s">
        <v>151</v>
      </c>
      <c r="C30" s="4">
        <v>2022</v>
      </c>
      <c r="D30" s="4" t="s">
        <v>47</v>
      </c>
      <c r="E30" s="15" t="s">
        <v>21</v>
      </c>
      <c r="F30" s="15" t="s">
        <v>27</v>
      </c>
      <c r="G30" s="15" t="s">
        <v>101</v>
      </c>
      <c r="H30" s="4" t="s">
        <v>102</v>
      </c>
      <c r="I30" s="4">
        <v>1</v>
      </c>
      <c r="J30" s="4">
        <v>1</v>
      </c>
      <c r="K30" s="18">
        <v>155</v>
      </c>
      <c r="L30" s="18">
        <v>4</v>
      </c>
    </row>
    <row r="31" spans="1:12" x14ac:dyDescent="0.35">
      <c r="A31" s="4" t="s">
        <v>152</v>
      </c>
      <c r="B31" s="4" t="s">
        <v>153</v>
      </c>
      <c r="C31" s="4">
        <v>2022</v>
      </c>
      <c r="D31" s="4" t="s">
        <v>47</v>
      </c>
      <c r="E31" s="15" t="s">
        <v>32</v>
      </c>
      <c r="F31" s="15" t="s">
        <v>19</v>
      </c>
      <c r="G31" s="15" t="s">
        <v>114</v>
      </c>
      <c r="H31" s="4" t="s">
        <v>102</v>
      </c>
      <c r="I31" s="4">
        <v>1</v>
      </c>
      <c r="J31" s="4">
        <v>1</v>
      </c>
      <c r="K31" s="18">
        <v>161</v>
      </c>
      <c r="L31" s="18">
        <v>9</v>
      </c>
    </row>
    <row r="32" spans="1:12" x14ac:dyDescent="0.35">
      <c r="A32" s="4" t="s">
        <v>154</v>
      </c>
      <c r="B32" s="4" t="s">
        <v>155</v>
      </c>
      <c r="C32" s="4">
        <v>2022</v>
      </c>
      <c r="D32" s="4" t="s">
        <v>47</v>
      </c>
      <c r="E32" s="15" t="s">
        <v>32</v>
      </c>
      <c r="F32" s="15" t="s">
        <v>23</v>
      </c>
      <c r="G32" s="15" t="s">
        <v>101</v>
      </c>
      <c r="H32" s="4" t="s">
        <v>95</v>
      </c>
      <c r="I32" s="4">
        <v>0</v>
      </c>
      <c r="J32" s="4">
        <v>1</v>
      </c>
      <c r="K32" s="18">
        <v>212</v>
      </c>
      <c r="L32" s="18">
        <v>8</v>
      </c>
    </row>
    <row r="33" spans="1:12" x14ac:dyDescent="0.35">
      <c r="A33" s="4" t="s">
        <v>156</v>
      </c>
      <c r="B33" s="4" t="s">
        <v>157</v>
      </c>
      <c r="C33" s="4">
        <v>2022</v>
      </c>
      <c r="D33" s="4" t="s">
        <v>47</v>
      </c>
      <c r="E33" s="15" t="s">
        <v>17</v>
      </c>
      <c r="F33" s="15" t="s">
        <v>25</v>
      </c>
      <c r="G33" s="15" t="s">
        <v>114</v>
      </c>
      <c r="H33" s="4" t="s">
        <v>102</v>
      </c>
      <c r="I33" s="4">
        <v>1</v>
      </c>
      <c r="J33" s="4">
        <v>1</v>
      </c>
      <c r="K33" s="18">
        <v>184</v>
      </c>
      <c r="L33" s="18">
        <v>7</v>
      </c>
    </row>
    <row r="34" spans="1:12" x14ac:dyDescent="0.35">
      <c r="A34" s="4" t="s">
        <v>158</v>
      </c>
      <c r="B34" s="4" t="s">
        <v>159</v>
      </c>
      <c r="C34" s="4">
        <v>2022</v>
      </c>
      <c r="D34" s="4" t="s">
        <v>47</v>
      </c>
      <c r="E34" s="15" t="s">
        <v>21</v>
      </c>
      <c r="F34" s="15" t="s">
        <v>32</v>
      </c>
      <c r="G34" s="15" t="s">
        <v>114</v>
      </c>
      <c r="H34" s="4" t="s">
        <v>102</v>
      </c>
      <c r="I34" s="4">
        <v>1</v>
      </c>
      <c r="J34" s="4">
        <v>1</v>
      </c>
      <c r="K34" s="18">
        <v>176</v>
      </c>
      <c r="L34" s="18">
        <v>5</v>
      </c>
    </row>
    <row r="35" spans="1:12" x14ac:dyDescent="0.35">
      <c r="A35" s="4" t="s">
        <v>160</v>
      </c>
      <c r="B35" s="4" t="s">
        <v>161</v>
      </c>
      <c r="C35" s="4">
        <v>2022</v>
      </c>
      <c r="D35" s="4" t="s">
        <v>47</v>
      </c>
      <c r="E35" s="15" t="s">
        <v>19</v>
      </c>
      <c r="F35" s="15" t="s">
        <v>21</v>
      </c>
      <c r="G35" s="15" t="s">
        <v>98</v>
      </c>
      <c r="H35" s="4" t="s">
        <v>102</v>
      </c>
      <c r="I35" s="4">
        <v>1</v>
      </c>
      <c r="J35" s="4">
        <v>1</v>
      </c>
      <c r="K35" s="18">
        <v>173</v>
      </c>
      <c r="L35" s="18">
        <v>4</v>
      </c>
    </row>
    <row r="36" spans="1:12" x14ac:dyDescent="0.35">
      <c r="A36" s="4" t="s">
        <v>162</v>
      </c>
      <c r="B36" s="4" t="s">
        <v>163</v>
      </c>
      <c r="C36" s="4">
        <v>2022</v>
      </c>
      <c r="D36" s="4" t="s">
        <v>47</v>
      </c>
      <c r="E36" s="15" t="s">
        <v>19</v>
      </c>
      <c r="F36" s="15" t="s">
        <v>30</v>
      </c>
      <c r="G36" s="15" t="s">
        <v>101</v>
      </c>
      <c r="H36" s="4" t="s">
        <v>95</v>
      </c>
      <c r="I36" s="4">
        <v>0</v>
      </c>
      <c r="J36" s="4">
        <v>1</v>
      </c>
      <c r="K36" s="18">
        <v>149</v>
      </c>
      <c r="L36" s="18">
        <v>6</v>
      </c>
    </row>
    <row r="37" spans="1:12" x14ac:dyDescent="0.35">
      <c r="A37" s="4" t="s">
        <v>164</v>
      </c>
      <c r="B37" s="4" t="s">
        <v>165</v>
      </c>
      <c r="C37" s="4">
        <v>2022</v>
      </c>
      <c r="D37" s="4" t="s">
        <v>47</v>
      </c>
      <c r="E37" s="15" t="s">
        <v>19</v>
      </c>
      <c r="F37" s="15" t="s">
        <v>23</v>
      </c>
      <c r="G37" s="15" t="s">
        <v>101</v>
      </c>
      <c r="H37" s="4" t="s">
        <v>95</v>
      </c>
      <c r="I37" s="4">
        <v>0</v>
      </c>
      <c r="J37" s="4">
        <v>1</v>
      </c>
      <c r="K37" s="18">
        <v>207</v>
      </c>
      <c r="L37" s="18">
        <v>5</v>
      </c>
    </row>
    <row r="38" spans="1:12" x14ac:dyDescent="0.35">
      <c r="A38" s="4" t="s">
        <v>166</v>
      </c>
      <c r="B38" s="4" t="s">
        <v>167</v>
      </c>
      <c r="C38" s="4">
        <v>2022</v>
      </c>
      <c r="D38" s="4" t="s">
        <v>47</v>
      </c>
      <c r="E38" s="15" t="s">
        <v>23</v>
      </c>
      <c r="F38" s="15" t="s">
        <v>34</v>
      </c>
      <c r="G38" s="15" t="s">
        <v>94</v>
      </c>
      <c r="H38" s="4" t="s">
        <v>95</v>
      </c>
      <c r="I38" s="4">
        <v>0</v>
      </c>
      <c r="J38" s="4">
        <v>1</v>
      </c>
      <c r="K38" s="18">
        <v>176</v>
      </c>
      <c r="L38" s="18">
        <v>7</v>
      </c>
    </row>
    <row r="39" spans="1:12" x14ac:dyDescent="0.35">
      <c r="A39" s="4" t="s">
        <v>168</v>
      </c>
      <c r="B39" s="4" t="s">
        <v>169</v>
      </c>
      <c r="C39" s="4">
        <v>2022</v>
      </c>
      <c r="D39" s="4" t="s">
        <v>170</v>
      </c>
      <c r="E39" s="15" t="s">
        <v>17</v>
      </c>
      <c r="F39" s="15" t="s">
        <v>25</v>
      </c>
      <c r="G39" s="15" t="s">
        <v>98</v>
      </c>
      <c r="H39" s="4" t="s">
        <v>102</v>
      </c>
      <c r="I39" s="4">
        <v>1</v>
      </c>
      <c r="J39" s="4">
        <v>1</v>
      </c>
      <c r="K39" s="18">
        <v>200</v>
      </c>
      <c r="L39" s="18">
        <v>6</v>
      </c>
    </row>
    <row r="40" spans="1:12" x14ac:dyDescent="0.35">
      <c r="A40" s="4" t="s">
        <v>171</v>
      </c>
      <c r="B40" s="4" t="s">
        <v>172</v>
      </c>
      <c r="C40" s="4">
        <v>2022</v>
      </c>
      <c r="D40" s="4" t="s">
        <v>170</v>
      </c>
      <c r="E40" s="15" t="s">
        <v>17</v>
      </c>
      <c r="F40" s="15" t="s">
        <v>28</v>
      </c>
      <c r="G40" s="15" t="s">
        <v>119</v>
      </c>
      <c r="H40" s="4" t="s">
        <v>102</v>
      </c>
      <c r="I40" s="4">
        <v>1</v>
      </c>
      <c r="J40" s="4">
        <v>1</v>
      </c>
      <c r="K40" s="18">
        <v>157</v>
      </c>
      <c r="L40" s="18">
        <v>4</v>
      </c>
    </row>
    <row r="41" spans="1:12" x14ac:dyDescent="0.35">
      <c r="A41" s="4" t="s">
        <v>173</v>
      </c>
      <c r="B41" s="4" t="s">
        <v>174</v>
      </c>
      <c r="C41" s="4">
        <v>2022</v>
      </c>
      <c r="D41" s="4" t="s">
        <v>170</v>
      </c>
      <c r="E41" s="15" t="s">
        <v>17</v>
      </c>
      <c r="F41" s="15" t="s">
        <v>21</v>
      </c>
      <c r="G41" s="15" t="s">
        <v>98</v>
      </c>
      <c r="H41" s="4" t="s">
        <v>102</v>
      </c>
      <c r="I41" s="4">
        <v>1</v>
      </c>
      <c r="J41" s="4">
        <v>1</v>
      </c>
      <c r="K41" s="18">
        <v>169</v>
      </c>
      <c r="L41" s="18">
        <v>5</v>
      </c>
    </row>
    <row r="42" spans="1:12" x14ac:dyDescent="0.35">
      <c r="A42" s="4" t="s">
        <v>175</v>
      </c>
      <c r="B42" s="4" t="s">
        <v>176</v>
      </c>
      <c r="C42" s="4">
        <v>2022</v>
      </c>
      <c r="D42" s="4" t="s">
        <v>170</v>
      </c>
      <c r="E42" s="15" t="s">
        <v>23</v>
      </c>
      <c r="F42" s="15" t="s">
        <v>32</v>
      </c>
      <c r="G42" s="15" t="s">
        <v>101</v>
      </c>
      <c r="H42" s="4" t="s">
        <v>95</v>
      </c>
      <c r="I42" s="4">
        <v>0</v>
      </c>
      <c r="J42" s="4">
        <v>1</v>
      </c>
      <c r="K42" s="18">
        <v>168</v>
      </c>
      <c r="L42" s="18">
        <v>6</v>
      </c>
    </row>
    <row r="43" spans="1:12" x14ac:dyDescent="0.35">
      <c r="A43" s="4" t="s">
        <v>177</v>
      </c>
      <c r="B43" s="4" t="s">
        <v>178</v>
      </c>
      <c r="C43" s="4">
        <v>2022</v>
      </c>
      <c r="D43" s="4" t="s">
        <v>170</v>
      </c>
      <c r="E43" s="15" t="s">
        <v>32</v>
      </c>
      <c r="F43" s="15" t="s">
        <v>25</v>
      </c>
      <c r="G43" s="15" t="s">
        <v>98</v>
      </c>
      <c r="H43" s="4" t="s">
        <v>95</v>
      </c>
      <c r="I43" s="4">
        <v>0</v>
      </c>
      <c r="J43" s="4">
        <v>1</v>
      </c>
      <c r="K43" s="18">
        <v>215</v>
      </c>
      <c r="L43" s="18">
        <v>4</v>
      </c>
    </row>
    <row r="44" spans="1:12" x14ac:dyDescent="0.35">
      <c r="A44" s="4" t="s">
        <v>179</v>
      </c>
      <c r="B44" s="4" t="s">
        <v>180</v>
      </c>
      <c r="C44" s="4">
        <v>2022</v>
      </c>
      <c r="D44" s="4" t="s">
        <v>170</v>
      </c>
      <c r="E44" s="15" t="s">
        <v>30</v>
      </c>
      <c r="F44" s="15" t="s">
        <v>23</v>
      </c>
      <c r="G44" s="15" t="s">
        <v>98</v>
      </c>
      <c r="H44" s="4" t="s">
        <v>95</v>
      </c>
      <c r="I44" s="4">
        <v>0</v>
      </c>
      <c r="J44" s="4">
        <v>1</v>
      </c>
      <c r="K44" s="18">
        <v>175</v>
      </c>
      <c r="L44" s="18">
        <v>5</v>
      </c>
    </row>
    <row r="45" spans="1:12" x14ac:dyDescent="0.35">
      <c r="A45" s="4" t="s">
        <v>181</v>
      </c>
      <c r="B45" s="4" t="s">
        <v>182</v>
      </c>
      <c r="C45" s="4">
        <v>2023</v>
      </c>
      <c r="D45" s="4" t="s">
        <v>45</v>
      </c>
      <c r="E45" s="15" t="s">
        <v>17</v>
      </c>
      <c r="F45" s="15" t="s">
        <v>32</v>
      </c>
      <c r="G45" s="15" t="s">
        <v>119</v>
      </c>
      <c r="H45" s="4" t="s">
        <v>102</v>
      </c>
      <c r="I45" s="4">
        <v>1</v>
      </c>
      <c r="J45" s="4">
        <v>1</v>
      </c>
      <c r="K45" s="18">
        <v>201</v>
      </c>
      <c r="L45" s="18">
        <v>4</v>
      </c>
    </row>
    <row r="46" spans="1:12" x14ac:dyDescent="0.35">
      <c r="A46" s="4" t="s">
        <v>183</v>
      </c>
      <c r="B46" s="4" t="s">
        <v>184</v>
      </c>
      <c r="C46" s="4">
        <v>2023</v>
      </c>
      <c r="D46" s="4" t="s">
        <v>46</v>
      </c>
      <c r="E46" s="15" t="s">
        <v>34</v>
      </c>
      <c r="F46" s="15" t="s">
        <v>17</v>
      </c>
      <c r="G46" s="15" t="s">
        <v>98</v>
      </c>
      <c r="H46" s="4" t="s">
        <v>95</v>
      </c>
      <c r="I46" s="4">
        <v>0</v>
      </c>
      <c r="J46" s="4">
        <v>1</v>
      </c>
      <c r="K46" s="18">
        <v>183</v>
      </c>
      <c r="L46" s="18">
        <v>7</v>
      </c>
    </row>
    <row r="47" spans="1:12" x14ac:dyDescent="0.35">
      <c r="A47" s="4" t="s">
        <v>185</v>
      </c>
      <c r="B47" s="4" t="s">
        <v>186</v>
      </c>
      <c r="C47" s="4">
        <v>2023</v>
      </c>
      <c r="D47" s="4" t="s">
        <v>46</v>
      </c>
      <c r="E47" s="15" t="s">
        <v>27</v>
      </c>
      <c r="F47" s="15" t="s">
        <v>17</v>
      </c>
      <c r="G47" s="15" t="s">
        <v>94</v>
      </c>
      <c r="H47" s="4" t="s">
        <v>95</v>
      </c>
      <c r="I47" s="4">
        <v>0</v>
      </c>
      <c r="J47" s="4">
        <v>1</v>
      </c>
      <c r="K47" s="18">
        <v>169</v>
      </c>
      <c r="L47" s="18">
        <v>5</v>
      </c>
    </row>
    <row r="48" spans="1:12" x14ac:dyDescent="0.35">
      <c r="A48" s="4" t="s">
        <v>187</v>
      </c>
      <c r="B48" s="4" t="s">
        <v>188</v>
      </c>
      <c r="C48" s="4">
        <v>2023</v>
      </c>
      <c r="D48" s="4" t="s">
        <v>46</v>
      </c>
      <c r="E48" s="15" t="s">
        <v>27</v>
      </c>
      <c r="F48" s="15" t="s">
        <v>25</v>
      </c>
      <c r="G48" s="15" t="s">
        <v>98</v>
      </c>
      <c r="H48" s="4" t="s">
        <v>102</v>
      </c>
      <c r="I48" s="4">
        <v>1</v>
      </c>
      <c r="J48" s="4">
        <v>1</v>
      </c>
      <c r="K48" s="18">
        <v>190</v>
      </c>
      <c r="L48" s="18">
        <v>4</v>
      </c>
    </row>
    <row r="49" spans="1:12" x14ac:dyDescent="0.35">
      <c r="A49" s="4" t="s">
        <v>189</v>
      </c>
      <c r="B49" s="4" t="s">
        <v>190</v>
      </c>
      <c r="C49" s="4">
        <v>2023</v>
      </c>
      <c r="D49" s="4" t="s">
        <v>46</v>
      </c>
      <c r="E49" s="15" t="s">
        <v>30</v>
      </c>
      <c r="F49" s="15" t="s">
        <v>32</v>
      </c>
      <c r="G49" s="15" t="s">
        <v>114</v>
      </c>
      <c r="H49" s="4" t="s">
        <v>95</v>
      </c>
      <c r="I49" s="4">
        <v>0</v>
      </c>
      <c r="J49" s="4">
        <v>1</v>
      </c>
      <c r="K49" s="18">
        <v>217</v>
      </c>
      <c r="L49" s="18">
        <v>5</v>
      </c>
    </row>
    <row r="50" spans="1:12" x14ac:dyDescent="0.35">
      <c r="A50" s="4" t="s">
        <v>191</v>
      </c>
      <c r="B50" s="4" t="s">
        <v>192</v>
      </c>
      <c r="C50" s="4">
        <v>2023</v>
      </c>
      <c r="D50" s="4" t="s">
        <v>46</v>
      </c>
      <c r="E50" s="15" t="s">
        <v>30</v>
      </c>
      <c r="F50" s="15" t="s">
        <v>23</v>
      </c>
      <c r="G50" s="15" t="s">
        <v>98</v>
      </c>
      <c r="H50" s="4" t="s">
        <v>95</v>
      </c>
      <c r="I50" s="4">
        <v>0</v>
      </c>
      <c r="J50" s="4">
        <v>1</v>
      </c>
      <c r="K50" s="18">
        <v>158</v>
      </c>
      <c r="L50" s="18">
        <v>8</v>
      </c>
    </row>
    <row r="51" spans="1:12" x14ac:dyDescent="0.35">
      <c r="A51" s="4" t="s">
        <v>193</v>
      </c>
      <c r="B51" s="4" t="s">
        <v>194</v>
      </c>
      <c r="C51" s="4">
        <v>2023</v>
      </c>
      <c r="D51" s="4" t="s">
        <v>46</v>
      </c>
      <c r="E51" s="15" t="s">
        <v>19</v>
      </c>
      <c r="F51" s="15" t="s">
        <v>25</v>
      </c>
      <c r="G51" s="15" t="s">
        <v>119</v>
      </c>
      <c r="H51" s="4" t="s">
        <v>102</v>
      </c>
      <c r="I51" s="4">
        <v>1</v>
      </c>
      <c r="J51" s="4">
        <v>1</v>
      </c>
      <c r="K51" s="18">
        <v>222</v>
      </c>
      <c r="L51" s="18">
        <v>5</v>
      </c>
    </row>
    <row r="52" spans="1:12" x14ac:dyDescent="0.35">
      <c r="A52" s="4" t="s">
        <v>195</v>
      </c>
      <c r="B52" s="4" t="s">
        <v>196</v>
      </c>
      <c r="C52" s="4">
        <v>2023</v>
      </c>
      <c r="D52" s="4" t="s">
        <v>46</v>
      </c>
      <c r="E52" s="15" t="s">
        <v>28</v>
      </c>
      <c r="F52" s="15" t="s">
        <v>30</v>
      </c>
      <c r="G52" s="15" t="s">
        <v>114</v>
      </c>
      <c r="H52" s="4" t="s">
        <v>102</v>
      </c>
      <c r="I52" s="4">
        <v>1</v>
      </c>
      <c r="J52" s="4">
        <v>1</v>
      </c>
      <c r="K52" s="18">
        <v>203</v>
      </c>
      <c r="L52" s="18">
        <v>9</v>
      </c>
    </row>
    <row r="53" spans="1:12" x14ac:dyDescent="0.35">
      <c r="A53" s="4" t="s">
        <v>197</v>
      </c>
      <c r="B53" s="4" t="s">
        <v>198</v>
      </c>
      <c r="C53" s="4">
        <v>2023</v>
      </c>
      <c r="D53" s="4" t="s">
        <v>46</v>
      </c>
      <c r="E53" s="15" t="s">
        <v>28</v>
      </c>
      <c r="F53" s="15" t="s">
        <v>23</v>
      </c>
      <c r="G53" s="15" t="s">
        <v>107</v>
      </c>
      <c r="H53" s="4" t="s">
        <v>95</v>
      </c>
      <c r="I53" s="4">
        <v>0</v>
      </c>
      <c r="J53" s="4">
        <v>1</v>
      </c>
      <c r="K53" s="18">
        <v>176</v>
      </c>
      <c r="L53" s="18">
        <v>9</v>
      </c>
    </row>
    <row r="54" spans="1:12" x14ac:dyDescent="0.35">
      <c r="A54" s="4" t="s">
        <v>199</v>
      </c>
      <c r="B54" s="4" t="s">
        <v>200</v>
      </c>
      <c r="C54" s="4">
        <v>2023</v>
      </c>
      <c r="D54" s="4" t="s">
        <v>46</v>
      </c>
      <c r="E54" s="15" t="s">
        <v>21</v>
      </c>
      <c r="F54" s="15" t="s">
        <v>25</v>
      </c>
      <c r="G54" s="15" t="s">
        <v>107</v>
      </c>
      <c r="H54" s="4" t="s">
        <v>95</v>
      </c>
      <c r="I54" s="4">
        <v>0</v>
      </c>
      <c r="J54" s="4">
        <v>1</v>
      </c>
      <c r="K54" s="18">
        <v>166</v>
      </c>
      <c r="L54" s="18">
        <v>9</v>
      </c>
    </row>
    <row r="55" spans="1:12" x14ac:dyDescent="0.35">
      <c r="A55" s="4" t="s">
        <v>201</v>
      </c>
      <c r="B55" s="4" t="s">
        <v>202</v>
      </c>
      <c r="C55" s="4">
        <v>2023</v>
      </c>
      <c r="D55" s="4" t="s">
        <v>46</v>
      </c>
      <c r="E55" s="15" t="s">
        <v>27</v>
      </c>
      <c r="F55" s="15" t="s">
        <v>32</v>
      </c>
      <c r="G55" s="15" t="s">
        <v>107</v>
      </c>
      <c r="H55" s="4" t="s">
        <v>102</v>
      </c>
      <c r="I55" s="4">
        <v>1</v>
      </c>
      <c r="J55" s="4">
        <v>1</v>
      </c>
      <c r="K55" s="18">
        <v>151</v>
      </c>
      <c r="L55" s="18">
        <v>7</v>
      </c>
    </row>
    <row r="56" spans="1:12" x14ac:dyDescent="0.35">
      <c r="A56" s="4" t="s">
        <v>203</v>
      </c>
      <c r="B56" s="4" t="s">
        <v>204</v>
      </c>
      <c r="C56" s="4">
        <v>2023</v>
      </c>
      <c r="D56" s="4" t="s">
        <v>46</v>
      </c>
      <c r="E56" s="15" t="s">
        <v>28</v>
      </c>
      <c r="F56" s="15" t="s">
        <v>19</v>
      </c>
      <c r="G56" s="15" t="s">
        <v>98</v>
      </c>
      <c r="H56" s="4" t="s">
        <v>95</v>
      </c>
      <c r="I56" s="4">
        <v>0</v>
      </c>
      <c r="J56" s="4">
        <v>1</v>
      </c>
      <c r="K56" s="18">
        <v>214</v>
      </c>
      <c r="L56" s="18">
        <v>6</v>
      </c>
    </row>
    <row r="57" spans="1:12" x14ac:dyDescent="0.35">
      <c r="A57" s="4" t="s">
        <v>205</v>
      </c>
      <c r="B57" s="4" t="s">
        <v>206</v>
      </c>
      <c r="C57" s="4">
        <v>2023</v>
      </c>
      <c r="D57" s="4" t="s">
        <v>46</v>
      </c>
      <c r="E57" s="15" t="s">
        <v>34</v>
      </c>
      <c r="F57" s="15" t="s">
        <v>21</v>
      </c>
      <c r="G57" s="15" t="s">
        <v>98</v>
      </c>
      <c r="H57" s="4" t="s">
        <v>102</v>
      </c>
      <c r="I57" s="4">
        <v>1</v>
      </c>
      <c r="J57" s="4">
        <v>1</v>
      </c>
      <c r="K57" s="18">
        <v>197</v>
      </c>
      <c r="L57" s="18">
        <v>6</v>
      </c>
    </row>
    <row r="58" spans="1:12" x14ac:dyDescent="0.35">
      <c r="A58" s="4" t="s">
        <v>207</v>
      </c>
      <c r="B58" s="4" t="s">
        <v>208</v>
      </c>
      <c r="C58" s="4">
        <v>2023</v>
      </c>
      <c r="D58" s="4" t="s">
        <v>46</v>
      </c>
      <c r="E58" s="15" t="s">
        <v>34</v>
      </c>
      <c r="F58" s="15" t="s">
        <v>32</v>
      </c>
      <c r="G58" s="15" t="s">
        <v>114</v>
      </c>
      <c r="H58" s="4" t="s">
        <v>95</v>
      </c>
      <c r="I58" s="4">
        <v>0</v>
      </c>
      <c r="J58" s="4">
        <v>1</v>
      </c>
      <c r="K58" s="18">
        <v>217</v>
      </c>
      <c r="L58" s="18">
        <v>4</v>
      </c>
    </row>
    <row r="59" spans="1:12" x14ac:dyDescent="0.35">
      <c r="A59" s="4" t="s">
        <v>209</v>
      </c>
      <c r="B59" s="4" t="s">
        <v>210</v>
      </c>
      <c r="C59" s="4">
        <v>2023</v>
      </c>
      <c r="D59" s="4" t="s">
        <v>46</v>
      </c>
      <c r="E59" s="15" t="s">
        <v>23</v>
      </c>
      <c r="F59" s="15" t="s">
        <v>27</v>
      </c>
      <c r="G59" s="15" t="s">
        <v>94</v>
      </c>
      <c r="H59" s="4" t="s">
        <v>102</v>
      </c>
      <c r="I59" s="4">
        <v>1</v>
      </c>
      <c r="J59" s="4">
        <v>1</v>
      </c>
      <c r="K59" s="18">
        <v>167</v>
      </c>
      <c r="L59" s="18">
        <v>6</v>
      </c>
    </row>
    <row r="60" spans="1:12" x14ac:dyDescent="0.35">
      <c r="A60" s="4" t="s">
        <v>211</v>
      </c>
      <c r="B60" s="4" t="s">
        <v>212</v>
      </c>
      <c r="C60" s="4">
        <v>2023</v>
      </c>
      <c r="D60" s="4" t="s">
        <v>46</v>
      </c>
      <c r="E60" s="15" t="s">
        <v>19</v>
      </c>
      <c r="F60" s="15" t="s">
        <v>28</v>
      </c>
      <c r="G60" s="15" t="s">
        <v>94</v>
      </c>
      <c r="H60" s="4" t="s">
        <v>102</v>
      </c>
      <c r="I60" s="4">
        <v>1</v>
      </c>
      <c r="J60" s="4">
        <v>1</v>
      </c>
      <c r="K60" s="18">
        <v>184</v>
      </c>
      <c r="L60" s="18">
        <v>6</v>
      </c>
    </row>
    <row r="61" spans="1:12" x14ac:dyDescent="0.35">
      <c r="A61" s="4" t="s">
        <v>213</v>
      </c>
      <c r="B61" s="4" t="s">
        <v>214</v>
      </c>
      <c r="C61" s="4">
        <v>2023</v>
      </c>
      <c r="D61" s="4" t="s">
        <v>47</v>
      </c>
      <c r="E61" s="15" t="s">
        <v>28</v>
      </c>
      <c r="F61" s="15" t="s">
        <v>25</v>
      </c>
      <c r="G61" s="15" t="s">
        <v>94</v>
      </c>
      <c r="H61" s="4" t="s">
        <v>95</v>
      </c>
      <c r="I61" s="4">
        <v>0</v>
      </c>
      <c r="J61" s="4">
        <v>1</v>
      </c>
      <c r="K61" s="18">
        <v>176</v>
      </c>
      <c r="L61" s="18">
        <v>9</v>
      </c>
    </row>
    <row r="62" spans="1:12" x14ac:dyDescent="0.35">
      <c r="A62" s="4" t="s">
        <v>215</v>
      </c>
      <c r="B62" s="4" t="s">
        <v>216</v>
      </c>
      <c r="C62" s="4">
        <v>2023</v>
      </c>
      <c r="D62" s="4" t="s">
        <v>47</v>
      </c>
      <c r="E62" s="15" t="s">
        <v>27</v>
      </c>
      <c r="F62" s="15" t="s">
        <v>23</v>
      </c>
      <c r="G62" s="15" t="s">
        <v>119</v>
      </c>
      <c r="H62" s="4" t="s">
        <v>95</v>
      </c>
      <c r="I62" s="4">
        <v>0</v>
      </c>
      <c r="J62" s="4">
        <v>1</v>
      </c>
      <c r="K62" s="18">
        <v>156</v>
      </c>
      <c r="L62" s="18">
        <v>4</v>
      </c>
    </row>
    <row r="63" spans="1:12" x14ac:dyDescent="0.35">
      <c r="A63" s="4" t="s">
        <v>217</v>
      </c>
      <c r="B63" s="4" t="s">
        <v>218</v>
      </c>
      <c r="C63" s="4">
        <v>2023</v>
      </c>
      <c r="D63" s="4" t="s">
        <v>47</v>
      </c>
      <c r="E63" s="15" t="s">
        <v>17</v>
      </c>
      <c r="F63" s="15" t="s">
        <v>27</v>
      </c>
      <c r="G63" s="15" t="s">
        <v>98</v>
      </c>
      <c r="H63" s="4" t="s">
        <v>102</v>
      </c>
      <c r="I63" s="4">
        <v>1</v>
      </c>
      <c r="J63" s="4">
        <v>1</v>
      </c>
      <c r="K63" s="18">
        <v>192</v>
      </c>
      <c r="L63" s="18">
        <v>5</v>
      </c>
    </row>
    <row r="64" spans="1:12" x14ac:dyDescent="0.35">
      <c r="A64" s="4" t="s">
        <v>219</v>
      </c>
      <c r="B64" s="4" t="s">
        <v>220</v>
      </c>
      <c r="C64" s="4">
        <v>2023</v>
      </c>
      <c r="D64" s="4" t="s">
        <v>47</v>
      </c>
      <c r="E64" s="15" t="s">
        <v>27</v>
      </c>
      <c r="F64" s="15" t="s">
        <v>34</v>
      </c>
      <c r="G64" s="15" t="s">
        <v>94</v>
      </c>
      <c r="H64" s="4" t="s">
        <v>95</v>
      </c>
      <c r="I64" s="4">
        <v>0</v>
      </c>
      <c r="J64" s="4">
        <v>1</v>
      </c>
      <c r="K64" s="18">
        <v>220</v>
      </c>
      <c r="L64" s="18">
        <v>9</v>
      </c>
    </row>
    <row r="65" spans="1:12" x14ac:dyDescent="0.35">
      <c r="A65" s="4" t="s">
        <v>221</v>
      </c>
      <c r="B65" s="4" t="s">
        <v>222</v>
      </c>
      <c r="C65" s="4">
        <v>2023</v>
      </c>
      <c r="D65" s="4" t="s">
        <v>47</v>
      </c>
      <c r="E65" s="15" t="s">
        <v>17</v>
      </c>
      <c r="F65" s="15" t="s">
        <v>23</v>
      </c>
      <c r="G65" s="15" t="s">
        <v>98</v>
      </c>
      <c r="H65" s="4" t="s">
        <v>102</v>
      </c>
      <c r="I65" s="4">
        <v>1</v>
      </c>
      <c r="J65" s="4">
        <v>1</v>
      </c>
      <c r="K65" s="18">
        <v>159</v>
      </c>
      <c r="L65" s="18">
        <v>9</v>
      </c>
    </row>
    <row r="66" spans="1:12" x14ac:dyDescent="0.35">
      <c r="A66" s="4" t="s">
        <v>223</v>
      </c>
      <c r="B66" s="4" t="s">
        <v>224</v>
      </c>
      <c r="C66" s="4">
        <v>2023</v>
      </c>
      <c r="D66" s="4" t="s">
        <v>47</v>
      </c>
      <c r="E66" s="15" t="s">
        <v>34</v>
      </c>
      <c r="F66" s="15" t="s">
        <v>23</v>
      </c>
      <c r="G66" s="15" t="s">
        <v>98</v>
      </c>
      <c r="H66" s="4" t="s">
        <v>95</v>
      </c>
      <c r="I66" s="4">
        <v>0</v>
      </c>
      <c r="J66" s="4">
        <v>1</v>
      </c>
      <c r="K66" s="18">
        <v>224</v>
      </c>
      <c r="L66" s="18">
        <v>8</v>
      </c>
    </row>
    <row r="67" spans="1:12" x14ac:dyDescent="0.35">
      <c r="A67" s="4" t="s">
        <v>225</v>
      </c>
      <c r="B67" s="4" t="s">
        <v>226</v>
      </c>
      <c r="C67" s="4">
        <v>2023</v>
      </c>
      <c r="D67" s="4" t="s">
        <v>47</v>
      </c>
      <c r="E67" s="15" t="s">
        <v>34</v>
      </c>
      <c r="F67" s="15" t="s">
        <v>17</v>
      </c>
      <c r="G67" s="15" t="s">
        <v>101</v>
      </c>
      <c r="H67" s="4" t="s">
        <v>102</v>
      </c>
      <c r="I67" s="4">
        <v>1</v>
      </c>
      <c r="J67" s="4">
        <v>1</v>
      </c>
      <c r="K67" s="18">
        <v>189</v>
      </c>
      <c r="L67" s="18">
        <v>6</v>
      </c>
    </row>
    <row r="68" spans="1:12" x14ac:dyDescent="0.35">
      <c r="A68" s="4" t="s">
        <v>227</v>
      </c>
      <c r="B68" s="4" t="s">
        <v>228</v>
      </c>
      <c r="C68" s="4">
        <v>2023</v>
      </c>
      <c r="D68" s="4" t="s">
        <v>47</v>
      </c>
      <c r="E68" s="15" t="s">
        <v>30</v>
      </c>
      <c r="F68" s="15" t="s">
        <v>21</v>
      </c>
      <c r="G68" s="15" t="s">
        <v>101</v>
      </c>
      <c r="H68" s="4" t="s">
        <v>102</v>
      </c>
      <c r="I68" s="4">
        <v>1</v>
      </c>
      <c r="J68" s="4">
        <v>1</v>
      </c>
      <c r="K68" s="18">
        <v>163</v>
      </c>
      <c r="L68" s="18">
        <v>6</v>
      </c>
    </row>
    <row r="69" spans="1:12" x14ac:dyDescent="0.35">
      <c r="A69" s="4" t="s">
        <v>229</v>
      </c>
      <c r="B69" s="4" t="s">
        <v>230</v>
      </c>
      <c r="C69" s="4">
        <v>2023</v>
      </c>
      <c r="D69" s="4" t="s">
        <v>47</v>
      </c>
      <c r="E69" s="15" t="s">
        <v>23</v>
      </c>
      <c r="F69" s="15" t="s">
        <v>17</v>
      </c>
      <c r="G69" s="15" t="s">
        <v>114</v>
      </c>
      <c r="H69" s="4" t="s">
        <v>102</v>
      </c>
      <c r="I69" s="4">
        <v>1</v>
      </c>
      <c r="J69" s="4">
        <v>1</v>
      </c>
      <c r="K69" s="18">
        <v>180</v>
      </c>
      <c r="L69" s="18">
        <v>5</v>
      </c>
    </row>
    <row r="70" spans="1:12" x14ac:dyDescent="0.35">
      <c r="A70" s="4" t="s">
        <v>231</v>
      </c>
      <c r="B70" s="4" t="s">
        <v>232</v>
      </c>
      <c r="C70" s="4">
        <v>2023</v>
      </c>
      <c r="D70" s="4" t="s">
        <v>47</v>
      </c>
      <c r="E70" s="15" t="s">
        <v>34</v>
      </c>
      <c r="F70" s="15" t="s">
        <v>17</v>
      </c>
      <c r="G70" s="15" t="s">
        <v>98</v>
      </c>
      <c r="H70" s="4" t="s">
        <v>102</v>
      </c>
      <c r="I70" s="4">
        <v>1</v>
      </c>
      <c r="J70" s="4">
        <v>1</v>
      </c>
      <c r="K70" s="18">
        <v>192</v>
      </c>
      <c r="L70" s="18">
        <v>7</v>
      </c>
    </row>
    <row r="71" spans="1:12" x14ac:dyDescent="0.35">
      <c r="A71" s="4" t="s">
        <v>233</v>
      </c>
      <c r="B71" s="4" t="s">
        <v>234</v>
      </c>
      <c r="C71" s="4">
        <v>2023</v>
      </c>
      <c r="D71" s="4" t="s">
        <v>47</v>
      </c>
      <c r="E71" s="15" t="s">
        <v>25</v>
      </c>
      <c r="F71" s="15" t="s">
        <v>27</v>
      </c>
      <c r="G71" s="15" t="s">
        <v>101</v>
      </c>
      <c r="H71" s="4" t="s">
        <v>102</v>
      </c>
      <c r="I71" s="4">
        <v>1</v>
      </c>
      <c r="J71" s="4">
        <v>1</v>
      </c>
      <c r="K71" s="18">
        <v>198</v>
      </c>
      <c r="L71" s="18">
        <v>4</v>
      </c>
    </row>
    <row r="72" spans="1:12" x14ac:dyDescent="0.35">
      <c r="A72" s="4" t="s">
        <v>235</v>
      </c>
      <c r="B72" s="4" t="s">
        <v>236</v>
      </c>
      <c r="C72" s="4">
        <v>2023</v>
      </c>
      <c r="D72" s="4" t="s">
        <v>47</v>
      </c>
      <c r="E72" s="15" t="s">
        <v>32</v>
      </c>
      <c r="F72" s="15" t="s">
        <v>25</v>
      </c>
      <c r="G72" s="15" t="s">
        <v>101</v>
      </c>
      <c r="H72" s="4" t="s">
        <v>95</v>
      </c>
      <c r="I72" s="4">
        <v>0</v>
      </c>
      <c r="J72" s="4">
        <v>1</v>
      </c>
      <c r="K72" s="18">
        <v>194</v>
      </c>
      <c r="L72" s="18">
        <v>6</v>
      </c>
    </row>
    <row r="73" spans="1:12" x14ac:dyDescent="0.35">
      <c r="A73" s="4" t="s">
        <v>237</v>
      </c>
      <c r="B73" s="4" t="s">
        <v>238</v>
      </c>
      <c r="C73" s="4">
        <v>2023</v>
      </c>
      <c r="D73" s="4" t="s">
        <v>47</v>
      </c>
      <c r="E73" s="15" t="s">
        <v>25</v>
      </c>
      <c r="F73" s="15" t="s">
        <v>28</v>
      </c>
      <c r="G73" s="15" t="s">
        <v>98</v>
      </c>
      <c r="H73" s="4" t="s">
        <v>102</v>
      </c>
      <c r="I73" s="4">
        <v>1</v>
      </c>
      <c r="J73" s="4">
        <v>1</v>
      </c>
      <c r="K73" s="18">
        <v>201</v>
      </c>
      <c r="L73" s="18">
        <v>6</v>
      </c>
    </row>
    <row r="74" spans="1:12" x14ac:dyDescent="0.35">
      <c r="A74" s="4" t="s">
        <v>239</v>
      </c>
      <c r="B74" s="4" t="s">
        <v>240</v>
      </c>
      <c r="C74" s="4">
        <v>2023</v>
      </c>
      <c r="D74" s="4" t="s">
        <v>47</v>
      </c>
      <c r="E74" s="15" t="s">
        <v>27</v>
      </c>
      <c r="F74" s="15" t="s">
        <v>19</v>
      </c>
      <c r="G74" s="15" t="s">
        <v>107</v>
      </c>
      <c r="H74" s="4" t="s">
        <v>95</v>
      </c>
      <c r="I74" s="4">
        <v>0</v>
      </c>
      <c r="J74" s="4">
        <v>1</v>
      </c>
      <c r="K74" s="18">
        <v>215</v>
      </c>
      <c r="L74" s="18">
        <v>7</v>
      </c>
    </row>
    <row r="75" spans="1:12" x14ac:dyDescent="0.35">
      <c r="A75" s="4" t="s">
        <v>241</v>
      </c>
      <c r="B75" s="4" t="s">
        <v>242</v>
      </c>
      <c r="C75" s="4">
        <v>2023</v>
      </c>
      <c r="D75" s="4" t="s">
        <v>47</v>
      </c>
      <c r="E75" s="15" t="s">
        <v>23</v>
      </c>
      <c r="F75" s="15" t="s">
        <v>21</v>
      </c>
      <c r="G75" s="15" t="s">
        <v>98</v>
      </c>
      <c r="H75" s="4" t="s">
        <v>102</v>
      </c>
      <c r="I75" s="4">
        <v>1</v>
      </c>
      <c r="J75" s="4">
        <v>1</v>
      </c>
      <c r="K75" s="18">
        <v>183</v>
      </c>
      <c r="L75" s="18">
        <v>5</v>
      </c>
    </row>
    <row r="76" spans="1:12" x14ac:dyDescent="0.35">
      <c r="A76" s="4" t="s">
        <v>243</v>
      </c>
      <c r="B76" s="4" t="s">
        <v>244</v>
      </c>
      <c r="C76" s="4">
        <v>2023</v>
      </c>
      <c r="D76" s="4" t="s">
        <v>170</v>
      </c>
      <c r="E76" s="15" t="s">
        <v>28</v>
      </c>
      <c r="F76" s="15" t="s">
        <v>27</v>
      </c>
      <c r="G76" s="15" t="s">
        <v>98</v>
      </c>
      <c r="H76" s="4" t="s">
        <v>102</v>
      </c>
      <c r="I76" s="4">
        <v>1</v>
      </c>
      <c r="J76" s="4">
        <v>1</v>
      </c>
      <c r="K76" s="18">
        <v>205</v>
      </c>
      <c r="L76" s="18">
        <v>6</v>
      </c>
    </row>
    <row r="77" spans="1:12" x14ac:dyDescent="0.35">
      <c r="A77" s="4" t="s">
        <v>245</v>
      </c>
      <c r="B77" s="4" t="s">
        <v>246</v>
      </c>
      <c r="C77" s="4">
        <v>2023</v>
      </c>
      <c r="D77" s="4" t="s">
        <v>170</v>
      </c>
      <c r="E77" s="15" t="s">
        <v>21</v>
      </c>
      <c r="F77" s="15" t="s">
        <v>17</v>
      </c>
      <c r="G77" s="15" t="s">
        <v>114</v>
      </c>
      <c r="H77" s="4" t="s">
        <v>102</v>
      </c>
      <c r="I77" s="4">
        <v>1</v>
      </c>
      <c r="J77" s="4">
        <v>1</v>
      </c>
      <c r="K77" s="18">
        <v>199</v>
      </c>
      <c r="L77" s="18">
        <v>8</v>
      </c>
    </row>
    <row r="78" spans="1:12" x14ac:dyDescent="0.35">
      <c r="A78" s="4" t="s">
        <v>247</v>
      </c>
      <c r="B78" s="4" t="s">
        <v>248</v>
      </c>
      <c r="C78" s="4">
        <v>2023</v>
      </c>
      <c r="D78" s="4" t="s">
        <v>170</v>
      </c>
      <c r="E78" s="15" t="s">
        <v>25</v>
      </c>
      <c r="F78" s="15" t="s">
        <v>27</v>
      </c>
      <c r="G78" s="15" t="s">
        <v>98</v>
      </c>
      <c r="H78" s="4" t="s">
        <v>95</v>
      </c>
      <c r="I78" s="4">
        <v>0</v>
      </c>
      <c r="J78" s="4">
        <v>1</v>
      </c>
      <c r="K78" s="18">
        <v>150</v>
      </c>
      <c r="L78" s="18">
        <v>8</v>
      </c>
    </row>
    <row r="79" spans="1:12" x14ac:dyDescent="0.35">
      <c r="A79" s="4" t="s">
        <v>249</v>
      </c>
      <c r="B79" s="4" t="s">
        <v>250</v>
      </c>
      <c r="C79" s="4">
        <v>2023</v>
      </c>
      <c r="D79" s="4" t="s">
        <v>170</v>
      </c>
      <c r="E79" s="15" t="s">
        <v>23</v>
      </c>
      <c r="F79" s="15" t="s">
        <v>25</v>
      </c>
      <c r="G79" s="15" t="s">
        <v>107</v>
      </c>
      <c r="H79" s="4" t="s">
        <v>95</v>
      </c>
      <c r="I79" s="4">
        <v>0</v>
      </c>
      <c r="J79" s="4">
        <v>1</v>
      </c>
      <c r="K79" s="18">
        <v>158</v>
      </c>
      <c r="L79" s="18">
        <v>9</v>
      </c>
    </row>
    <row r="80" spans="1:12" x14ac:dyDescent="0.35">
      <c r="A80" s="4" t="s">
        <v>251</v>
      </c>
      <c r="B80" s="4" t="s">
        <v>252</v>
      </c>
      <c r="C80" s="4">
        <v>2023</v>
      </c>
      <c r="D80" s="4" t="s">
        <v>170</v>
      </c>
      <c r="E80" s="15" t="s">
        <v>21</v>
      </c>
      <c r="F80" s="15" t="s">
        <v>28</v>
      </c>
      <c r="G80" s="15" t="s">
        <v>94</v>
      </c>
      <c r="H80" s="4" t="s">
        <v>102</v>
      </c>
      <c r="I80" s="4">
        <v>1</v>
      </c>
      <c r="J80" s="4">
        <v>1</v>
      </c>
      <c r="K80" s="18">
        <v>188</v>
      </c>
      <c r="L80" s="18">
        <v>8</v>
      </c>
    </row>
    <row r="81" spans="1:12" x14ac:dyDescent="0.35">
      <c r="A81" s="4" t="s">
        <v>253</v>
      </c>
      <c r="B81" s="4" t="s">
        <v>254</v>
      </c>
      <c r="C81" s="4">
        <v>2023</v>
      </c>
      <c r="D81" s="4" t="s">
        <v>170</v>
      </c>
      <c r="E81" s="15" t="s">
        <v>27</v>
      </c>
      <c r="F81" s="15" t="s">
        <v>17</v>
      </c>
      <c r="G81" s="15" t="s">
        <v>107</v>
      </c>
      <c r="H81" s="4" t="s">
        <v>95</v>
      </c>
      <c r="I81" s="4">
        <v>0</v>
      </c>
      <c r="J81" s="4">
        <v>1</v>
      </c>
      <c r="K81" s="18">
        <v>187</v>
      </c>
      <c r="L81" s="18">
        <v>8</v>
      </c>
    </row>
    <row r="82" spans="1:12" x14ac:dyDescent="0.35">
      <c r="A82" s="4" t="s">
        <v>255</v>
      </c>
      <c r="B82" s="4" t="s">
        <v>256</v>
      </c>
      <c r="C82" s="4">
        <v>2023</v>
      </c>
      <c r="D82" s="4" t="s">
        <v>170</v>
      </c>
      <c r="E82" s="15" t="s">
        <v>34</v>
      </c>
      <c r="F82" s="15" t="s">
        <v>25</v>
      </c>
      <c r="G82" s="15" t="s">
        <v>119</v>
      </c>
      <c r="H82" s="4" t="s">
        <v>95</v>
      </c>
      <c r="I82" s="4">
        <v>0</v>
      </c>
      <c r="J82" s="4">
        <v>1</v>
      </c>
      <c r="K82" s="18">
        <v>172</v>
      </c>
      <c r="L82" s="18">
        <v>8</v>
      </c>
    </row>
    <row r="83" spans="1:12" x14ac:dyDescent="0.35">
      <c r="A83" s="4" t="s">
        <v>257</v>
      </c>
      <c r="B83" s="4" t="s">
        <v>258</v>
      </c>
      <c r="C83" s="4">
        <v>2023</v>
      </c>
      <c r="D83" s="4" t="s">
        <v>170</v>
      </c>
      <c r="E83" s="15" t="s">
        <v>28</v>
      </c>
      <c r="F83" s="15" t="s">
        <v>27</v>
      </c>
      <c r="G83" s="15" t="s">
        <v>119</v>
      </c>
      <c r="H83" s="4" t="s">
        <v>102</v>
      </c>
      <c r="I83" s="4">
        <v>1</v>
      </c>
      <c r="J83" s="4">
        <v>1</v>
      </c>
      <c r="K83" s="18">
        <v>188</v>
      </c>
      <c r="L83" s="18">
        <v>6</v>
      </c>
    </row>
    <row r="84" spans="1:12" x14ac:dyDescent="0.35">
      <c r="A84" s="4" t="s">
        <v>259</v>
      </c>
      <c r="B84" s="4" t="s">
        <v>260</v>
      </c>
      <c r="C84" s="4">
        <v>2023</v>
      </c>
      <c r="D84" s="4" t="s">
        <v>170</v>
      </c>
      <c r="E84" s="15" t="s">
        <v>25</v>
      </c>
      <c r="F84" s="15" t="s">
        <v>17</v>
      </c>
      <c r="G84" s="15" t="s">
        <v>114</v>
      </c>
      <c r="H84" s="4" t="s">
        <v>95</v>
      </c>
      <c r="I84" s="4">
        <v>0</v>
      </c>
      <c r="J84" s="4">
        <v>1</v>
      </c>
      <c r="K84" s="18">
        <v>209</v>
      </c>
      <c r="L84" s="18">
        <v>7</v>
      </c>
    </row>
    <row r="85" spans="1:12" x14ac:dyDescent="0.35">
      <c r="A85" s="4" t="s">
        <v>261</v>
      </c>
      <c r="B85" s="4" t="s">
        <v>262</v>
      </c>
      <c r="C85" s="4">
        <v>2024</v>
      </c>
      <c r="D85" s="4" t="s">
        <v>45</v>
      </c>
      <c r="E85" s="15" t="s">
        <v>32</v>
      </c>
      <c r="F85" s="15" t="s">
        <v>25</v>
      </c>
      <c r="G85" s="15" t="s">
        <v>114</v>
      </c>
      <c r="H85" s="4" t="s">
        <v>95</v>
      </c>
      <c r="I85" s="4">
        <v>0</v>
      </c>
      <c r="J85" s="4">
        <v>1</v>
      </c>
      <c r="K85" s="18">
        <v>254</v>
      </c>
      <c r="L85" s="18">
        <v>4</v>
      </c>
    </row>
    <row r="86" spans="1:12" x14ac:dyDescent="0.35">
      <c r="A86" s="4" t="s">
        <v>263</v>
      </c>
      <c r="B86" s="4" t="s">
        <v>264</v>
      </c>
      <c r="C86" s="4">
        <v>2024</v>
      </c>
      <c r="D86" s="4" t="s">
        <v>45</v>
      </c>
      <c r="E86" s="15" t="s">
        <v>19</v>
      </c>
      <c r="F86" s="15" t="s">
        <v>27</v>
      </c>
      <c r="G86" s="15" t="s">
        <v>114</v>
      </c>
      <c r="H86" s="4" t="s">
        <v>95</v>
      </c>
      <c r="I86" s="4">
        <v>0</v>
      </c>
      <c r="J86" s="4">
        <v>1</v>
      </c>
      <c r="K86" s="18">
        <v>239</v>
      </c>
      <c r="L86" s="18">
        <v>5</v>
      </c>
    </row>
    <row r="87" spans="1:12" x14ac:dyDescent="0.35">
      <c r="A87" s="4" t="s">
        <v>265</v>
      </c>
      <c r="B87" s="4" t="s">
        <v>266</v>
      </c>
      <c r="C87" s="4">
        <v>2024</v>
      </c>
      <c r="D87" s="4" t="s">
        <v>45</v>
      </c>
      <c r="E87" s="15" t="s">
        <v>19</v>
      </c>
      <c r="F87" s="15" t="s">
        <v>25</v>
      </c>
      <c r="G87" s="15" t="s">
        <v>94</v>
      </c>
      <c r="H87" s="4" t="s">
        <v>95</v>
      </c>
      <c r="I87" s="4">
        <v>0</v>
      </c>
      <c r="J87" s="4">
        <v>1</v>
      </c>
      <c r="K87" s="18">
        <v>188</v>
      </c>
      <c r="L87" s="18">
        <v>9</v>
      </c>
    </row>
    <row r="88" spans="1:12" x14ac:dyDescent="0.35">
      <c r="A88" s="4" t="s">
        <v>267</v>
      </c>
      <c r="B88" s="4" t="s">
        <v>268</v>
      </c>
      <c r="C88" s="4">
        <v>2024</v>
      </c>
      <c r="D88" s="4" t="s">
        <v>45</v>
      </c>
      <c r="E88" s="15" t="s">
        <v>25</v>
      </c>
      <c r="F88" s="15" t="s">
        <v>34</v>
      </c>
      <c r="G88" s="15" t="s">
        <v>98</v>
      </c>
      <c r="H88" s="4" t="s">
        <v>102</v>
      </c>
      <c r="I88" s="4">
        <v>1</v>
      </c>
      <c r="J88" s="4">
        <v>1</v>
      </c>
      <c r="K88" s="18">
        <v>191</v>
      </c>
      <c r="L88" s="18">
        <v>6</v>
      </c>
    </row>
    <row r="89" spans="1:12" x14ac:dyDescent="0.35">
      <c r="A89" s="4" t="s">
        <v>269</v>
      </c>
      <c r="B89" s="4" t="s">
        <v>270</v>
      </c>
      <c r="C89" s="4">
        <v>2024</v>
      </c>
      <c r="D89" s="4" t="s">
        <v>45</v>
      </c>
      <c r="E89" s="15" t="s">
        <v>28</v>
      </c>
      <c r="F89" s="15" t="s">
        <v>19</v>
      </c>
      <c r="G89" s="15" t="s">
        <v>119</v>
      </c>
      <c r="H89" s="4" t="s">
        <v>95</v>
      </c>
      <c r="I89" s="4">
        <v>0</v>
      </c>
      <c r="J89" s="4">
        <v>1</v>
      </c>
      <c r="K89" s="18">
        <v>240</v>
      </c>
      <c r="L89" s="18">
        <v>7</v>
      </c>
    </row>
    <row r="90" spans="1:12" x14ac:dyDescent="0.35">
      <c r="A90" s="4" t="s">
        <v>271</v>
      </c>
      <c r="B90" s="4" t="s">
        <v>272</v>
      </c>
      <c r="C90" s="4">
        <v>2024</v>
      </c>
      <c r="D90" s="4" t="s">
        <v>46</v>
      </c>
      <c r="E90" s="15" t="s">
        <v>25</v>
      </c>
      <c r="F90" s="15" t="s">
        <v>17</v>
      </c>
      <c r="G90" s="15" t="s">
        <v>119</v>
      </c>
      <c r="H90" s="4" t="s">
        <v>95</v>
      </c>
      <c r="I90" s="4">
        <v>0</v>
      </c>
      <c r="J90" s="4">
        <v>1</v>
      </c>
      <c r="K90" s="18">
        <v>191</v>
      </c>
      <c r="L90" s="18">
        <v>4</v>
      </c>
    </row>
    <row r="91" spans="1:12" x14ac:dyDescent="0.35">
      <c r="A91" s="4" t="s">
        <v>273</v>
      </c>
      <c r="B91" s="4" t="s">
        <v>274</v>
      </c>
      <c r="C91" s="4">
        <v>2024</v>
      </c>
      <c r="D91" s="4" t="s">
        <v>46</v>
      </c>
      <c r="E91" s="15" t="s">
        <v>30</v>
      </c>
      <c r="F91" s="15" t="s">
        <v>19</v>
      </c>
      <c r="G91" s="15" t="s">
        <v>119</v>
      </c>
      <c r="H91" s="4" t="s">
        <v>102</v>
      </c>
      <c r="I91" s="4">
        <v>1</v>
      </c>
      <c r="J91" s="4">
        <v>1</v>
      </c>
      <c r="K91" s="18">
        <v>182</v>
      </c>
      <c r="L91" s="18">
        <v>9</v>
      </c>
    </row>
    <row r="92" spans="1:12" x14ac:dyDescent="0.35">
      <c r="A92" s="4" t="s">
        <v>275</v>
      </c>
      <c r="B92" s="4" t="s">
        <v>276</v>
      </c>
      <c r="C92" s="4">
        <v>2024</v>
      </c>
      <c r="D92" s="4" t="s">
        <v>46</v>
      </c>
      <c r="E92" s="15" t="s">
        <v>23</v>
      </c>
      <c r="F92" s="15" t="s">
        <v>32</v>
      </c>
      <c r="G92" s="15" t="s">
        <v>98</v>
      </c>
      <c r="H92" s="4" t="s">
        <v>102</v>
      </c>
      <c r="I92" s="4">
        <v>1</v>
      </c>
      <c r="J92" s="4">
        <v>1</v>
      </c>
      <c r="K92" s="18">
        <v>175</v>
      </c>
      <c r="L92" s="18">
        <v>6</v>
      </c>
    </row>
    <row r="93" spans="1:12" x14ac:dyDescent="0.35">
      <c r="A93" s="4" t="s">
        <v>277</v>
      </c>
      <c r="B93" s="4" t="s">
        <v>278</v>
      </c>
      <c r="C93" s="4">
        <v>2024</v>
      </c>
      <c r="D93" s="4" t="s">
        <v>46</v>
      </c>
      <c r="E93" s="15" t="s">
        <v>34</v>
      </c>
      <c r="F93" s="15" t="s">
        <v>32</v>
      </c>
      <c r="G93" s="15" t="s">
        <v>94</v>
      </c>
      <c r="H93" s="4" t="s">
        <v>95</v>
      </c>
      <c r="I93" s="4">
        <v>0</v>
      </c>
      <c r="J93" s="4">
        <v>1</v>
      </c>
      <c r="K93" s="18">
        <v>216</v>
      </c>
      <c r="L93" s="18">
        <v>7</v>
      </c>
    </row>
    <row r="94" spans="1:12" x14ac:dyDescent="0.35">
      <c r="A94" s="4" t="s">
        <v>279</v>
      </c>
      <c r="B94" s="4" t="s">
        <v>280</v>
      </c>
      <c r="C94" s="4">
        <v>2024</v>
      </c>
      <c r="D94" s="4" t="s">
        <v>46</v>
      </c>
      <c r="E94" s="15" t="s">
        <v>23</v>
      </c>
      <c r="F94" s="15" t="s">
        <v>17</v>
      </c>
      <c r="G94" s="15" t="s">
        <v>114</v>
      </c>
      <c r="H94" s="4" t="s">
        <v>95</v>
      </c>
      <c r="I94" s="4">
        <v>0</v>
      </c>
      <c r="J94" s="4">
        <v>1</v>
      </c>
      <c r="K94" s="18">
        <v>180</v>
      </c>
      <c r="L94" s="18">
        <v>8</v>
      </c>
    </row>
    <row r="95" spans="1:12" x14ac:dyDescent="0.35">
      <c r="A95" s="4" t="s">
        <v>281</v>
      </c>
      <c r="B95" s="4" t="s">
        <v>282</v>
      </c>
      <c r="C95" s="4">
        <v>2024</v>
      </c>
      <c r="D95" s="4" t="s">
        <v>46</v>
      </c>
      <c r="E95" s="15" t="s">
        <v>32</v>
      </c>
      <c r="F95" s="15" t="s">
        <v>28</v>
      </c>
      <c r="G95" s="15" t="s">
        <v>107</v>
      </c>
      <c r="H95" s="4" t="s">
        <v>102</v>
      </c>
      <c r="I95" s="4">
        <v>1</v>
      </c>
      <c r="J95" s="4">
        <v>1</v>
      </c>
      <c r="K95" s="18">
        <v>241</v>
      </c>
      <c r="L95" s="18">
        <v>5</v>
      </c>
    </row>
    <row r="96" spans="1:12" x14ac:dyDescent="0.35">
      <c r="A96" s="4" t="s">
        <v>283</v>
      </c>
      <c r="B96" s="4" t="s">
        <v>284</v>
      </c>
      <c r="C96" s="4">
        <v>2024</v>
      </c>
      <c r="D96" s="4" t="s">
        <v>46</v>
      </c>
      <c r="E96" s="15" t="s">
        <v>23</v>
      </c>
      <c r="F96" s="15" t="s">
        <v>32</v>
      </c>
      <c r="G96" s="15" t="s">
        <v>94</v>
      </c>
      <c r="H96" s="4" t="s">
        <v>102</v>
      </c>
      <c r="I96" s="4">
        <v>1</v>
      </c>
      <c r="J96" s="4">
        <v>1</v>
      </c>
      <c r="K96" s="18">
        <v>195</v>
      </c>
      <c r="L96" s="18">
        <v>6</v>
      </c>
    </row>
    <row r="97" spans="1:12" x14ac:dyDescent="0.35">
      <c r="A97" s="4" t="s">
        <v>285</v>
      </c>
      <c r="B97" s="4" t="s">
        <v>286</v>
      </c>
      <c r="C97" s="4">
        <v>2024</v>
      </c>
      <c r="D97" s="4" t="s">
        <v>46</v>
      </c>
      <c r="E97" s="15" t="s">
        <v>19</v>
      </c>
      <c r="F97" s="15" t="s">
        <v>27</v>
      </c>
      <c r="G97" s="15" t="s">
        <v>101</v>
      </c>
      <c r="H97" s="4" t="s">
        <v>95</v>
      </c>
      <c r="I97" s="4">
        <v>0</v>
      </c>
      <c r="J97" s="4">
        <v>1</v>
      </c>
      <c r="K97" s="18">
        <v>200</v>
      </c>
      <c r="L97" s="18">
        <v>7</v>
      </c>
    </row>
    <row r="98" spans="1:12" x14ac:dyDescent="0.35">
      <c r="A98" s="4" t="s">
        <v>287</v>
      </c>
      <c r="B98" s="4" t="s">
        <v>288</v>
      </c>
      <c r="C98" s="4">
        <v>2024</v>
      </c>
      <c r="D98" s="4" t="s">
        <v>46</v>
      </c>
      <c r="E98" s="15" t="s">
        <v>19</v>
      </c>
      <c r="F98" s="15" t="s">
        <v>34</v>
      </c>
      <c r="G98" s="15" t="s">
        <v>101</v>
      </c>
      <c r="H98" s="4" t="s">
        <v>102</v>
      </c>
      <c r="I98" s="4">
        <v>1</v>
      </c>
      <c r="J98" s="4">
        <v>1</v>
      </c>
      <c r="K98" s="18">
        <v>209</v>
      </c>
      <c r="L98" s="18">
        <v>8</v>
      </c>
    </row>
    <row r="99" spans="1:12" x14ac:dyDescent="0.35">
      <c r="A99" s="4" t="s">
        <v>289</v>
      </c>
      <c r="B99" s="4" t="s">
        <v>290</v>
      </c>
      <c r="C99" s="4">
        <v>2024</v>
      </c>
      <c r="D99" s="4" t="s">
        <v>46</v>
      </c>
      <c r="E99" s="15" t="s">
        <v>34</v>
      </c>
      <c r="F99" s="15" t="s">
        <v>25</v>
      </c>
      <c r="G99" s="15" t="s">
        <v>98</v>
      </c>
      <c r="H99" s="4" t="s">
        <v>95</v>
      </c>
      <c r="I99" s="4">
        <v>0</v>
      </c>
      <c r="J99" s="4">
        <v>1</v>
      </c>
      <c r="K99" s="18">
        <v>212</v>
      </c>
      <c r="L99" s="18">
        <v>5</v>
      </c>
    </row>
    <row r="100" spans="1:12" x14ac:dyDescent="0.35">
      <c r="A100" s="4" t="s">
        <v>291</v>
      </c>
      <c r="B100" s="4" t="s">
        <v>292</v>
      </c>
      <c r="C100" s="4">
        <v>2024</v>
      </c>
      <c r="D100" s="4" t="s">
        <v>46</v>
      </c>
      <c r="E100" s="15" t="s">
        <v>23</v>
      </c>
      <c r="F100" s="15" t="s">
        <v>32</v>
      </c>
      <c r="G100" s="15" t="s">
        <v>119</v>
      </c>
      <c r="H100" s="4" t="s">
        <v>102</v>
      </c>
      <c r="I100" s="4">
        <v>1</v>
      </c>
      <c r="J100" s="4">
        <v>1</v>
      </c>
      <c r="K100" s="18">
        <v>186</v>
      </c>
      <c r="L100" s="18">
        <v>9</v>
      </c>
    </row>
    <row r="101" spans="1:12" x14ac:dyDescent="0.35">
      <c r="A101" s="4" t="s">
        <v>293</v>
      </c>
      <c r="B101" s="4" t="s">
        <v>294</v>
      </c>
      <c r="C101" s="4">
        <v>2024</v>
      </c>
      <c r="D101" s="4" t="s">
        <v>46</v>
      </c>
      <c r="E101" s="15" t="s">
        <v>17</v>
      </c>
      <c r="F101" s="15" t="s">
        <v>28</v>
      </c>
      <c r="G101" s="15" t="s">
        <v>114</v>
      </c>
      <c r="H101" s="4" t="s">
        <v>95</v>
      </c>
      <c r="I101" s="4">
        <v>0</v>
      </c>
      <c r="J101" s="4">
        <v>1</v>
      </c>
      <c r="K101" s="18">
        <v>162</v>
      </c>
      <c r="L101" s="18">
        <v>9</v>
      </c>
    </row>
    <row r="102" spans="1:12" x14ac:dyDescent="0.35">
      <c r="A102" s="4" t="s">
        <v>295</v>
      </c>
      <c r="B102" s="4" t="s">
        <v>296</v>
      </c>
      <c r="C102" s="4">
        <v>2024</v>
      </c>
      <c r="D102" s="4" t="s">
        <v>46</v>
      </c>
      <c r="E102" s="15" t="s">
        <v>28</v>
      </c>
      <c r="F102" s="15" t="s">
        <v>17</v>
      </c>
      <c r="G102" s="15" t="s">
        <v>119</v>
      </c>
      <c r="H102" s="4" t="s">
        <v>102</v>
      </c>
      <c r="I102" s="4">
        <v>1</v>
      </c>
      <c r="J102" s="4">
        <v>1</v>
      </c>
      <c r="K102" s="18">
        <v>205</v>
      </c>
      <c r="L102" s="18">
        <v>5</v>
      </c>
    </row>
    <row r="103" spans="1:12" x14ac:dyDescent="0.35">
      <c r="A103" s="4" t="s">
        <v>297</v>
      </c>
      <c r="B103" s="4" t="s">
        <v>298</v>
      </c>
      <c r="C103" s="4">
        <v>2024</v>
      </c>
      <c r="D103" s="4" t="s">
        <v>46</v>
      </c>
      <c r="E103" s="15" t="s">
        <v>17</v>
      </c>
      <c r="F103" s="15" t="s">
        <v>28</v>
      </c>
      <c r="G103" s="15" t="s">
        <v>114</v>
      </c>
      <c r="H103" s="4" t="s">
        <v>95</v>
      </c>
      <c r="I103" s="4">
        <v>0</v>
      </c>
      <c r="J103" s="4">
        <v>1</v>
      </c>
      <c r="K103" s="18">
        <v>229</v>
      </c>
      <c r="L103" s="18">
        <v>9</v>
      </c>
    </row>
    <row r="104" spans="1:12" x14ac:dyDescent="0.35">
      <c r="A104" s="4" t="s">
        <v>299</v>
      </c>
      <c r="B104" s="4" t="s">
        <v>300</v>
      </c>
      <c r="C104" s="4">
        <v>2024</v>
      </c>
      <c r="D104" s="4" t="s">
        <v>46</v>
      </c>
      <c r="E104" s="15" t="s">
        <v>28</v>
      </c>
      <c r="F104" s="15" t="s">
        <v>25</v>
      </c>
      <c r="G104" s="15" t="s">
        <v>119</v>
      </c>
      <c r="H104" s="4" t="s">
        <v>102</v>
      </c>
      <c r="I104" s="4">
        <v>1</v>
      </c>
      <c r="J104" s="4">
        <v>1</v>
      </c>
      <c r="K104" s="18">
        <v>194</v>
      </c>
      <c r="L104" s="18">
        <v>6</v>
      </c>
    </row>
    <row r="105" spans="1:12" x14ac:dyDescent="0.35">
      <c r="A105" s="4" t="s">
        <v>301</v>
      </c>
      <c r="B105" s="4" t="s">
        <v>302</v>
      </c>
      <c r="C105" s="4">
        <v>2024</v>
      </c>
      <c r="D105" s="4" t="s">
        <v>47</v>
      </c>
      <c r="E105" s="15" t="s">
        <v>32</v>
      </c>
      <c r="F105" s="15" t="s">
        <v>30</v>
      </c>
      <c r="G105" s="15" t="s">
        <v>119</v>
      </c>
      <c r="H105" s="4" t="s">
        <v>95</v>
      </c>
      <c r="I105" s="4">
        <v>0</v>
      </c>
      <c r="J105" s="4">
        <v>1</v>
      </c>
      <c r="K105" s="18">
        <v>245</v>
      </c>
      <c r="L105" s="18">
        <v>8</v>
      </c>
    </row>
    <row r="106" spans="1:12" x14ac:dyDescent="0.35">
      <c r="A106" s="4" t="s">
        <v>303</v>
      </c>
      <c r="B106" s="4" t="s">
        <v>304</v>
      </c>
      <c r="C106" s="4">
        <v>2024</v>
      </c>
      <c r="D106" s="4" t="s">
        <v>47</v>
      </c>
      <c r="E106" s="15" t="s">
        <v>17</v>
      </c>
      <c r="F106" s="15" t="s">
        <v>34</v>
      </c>
      <c r="G106" s="15" t="s">
        <v>119</v>
      </c>
      <c r="H106" s="4" t="s">
        <v>95</v>
      </c>
      <c r="I106" s="4">
        <v>0</v>
      </c>
      <c r="J106" s="4">
        <v>1</v>
      </c>
      <c r="K106" s="18">
        <v>239</v>
      </c>
      <c r="L106" s="18">
        <v>7</v>
      </c>
    </row>
    <row r="107" spans="1:12" x14ac:dyDescent="0.35">
      <c r="A107" s="4" t="s">
        <v>305</v>
      </c>
      <c r="B107" s="4" t="s">
        <v>306</v>
      </c>
      <c r="C107" s="4">
        <v>2024</v>
      </c>
      <c r="D107" s="4" t="s">
        <v>47</v>
      </c>
      <c r="E107" s="15" t="s">
        <v>30</v>
      </c>
      <c r="F107" s="15" t="s">
        <v>17</v>
      </c>
      <c r="G107" s="15" t="s">
        <v>114</v>
      </c>
      <c r="H107" s="4" t="s">
        <v>102</v>
      </c>
      <c r="I107" s="4">
        <v>1</v>
      </c>
      <c r="J107" s="4">
        <v>1</v>
      </c>
      <c r="K107" s="18">
        <v>170</v>
      </c>
      <c r="L107" s="18">
        <v>8</v>
      </c>
    </row>
    <row r="108" spans="1:12" x14ac:dyDescent="0.35">
      <c r="A108" s="4" t="s">
        <v>307</v>
      </c>
      <c r="B108" s="4" t="s">
        <v>308</v>
      </c>
      <c r="C108" s="4">
        <v>2024</v>
      </c>
      <c r="D108" s="4" t="s">
        <v>47</v>
      </c>
      <c r="E108" s="15" t="s">
        <v>17</v>
      </c>
      <c r="F108" s="15" t="s">
        <v>34</v>
      </c>
      <c r="G108" s="15" t="s">
        <v>119</v>
      </c>
      <c r="H108" s="4" t="s">
        <v>102</v>
      </c>
      <c r="I108" s="4">
        <v>1</v>
      </c>
      <c r="J108" s="4">
        <v>1</v>
      </c>
      <c r="K108" s="18">
        <v>193</v>
      </c>
      <c r="L108" s="18">
        <v>6</v>
      </c>
    </row>
    <row r="109" spans="1:12" x14ac:dyDescent="0.35">
      <c r="A109" s="4" t="s">
        <v>309</v>
      </c>
      <c r="B109" s="4" t="s">
        <v>310</v>
      </c>
      <c r="C109" s="4">
        <v>2024</v>
      </c>
      <c r="D109" s="4" t="s">
        <v>47</v>
      </c>
      <c r="E109" s="15" t="s">
        <v>21</v>
      </c>
      <c r="F109" s="15" t="s">
        <v>25</v>
      </c>
      <c r="G109" s="15" t="s">
        <v>119</v>
      </c>
      <c r="H109" s="4" t="s">
        <v>95</v>
      </c>
      <c r="I109" s="4">
        <v>0</v>
      </c>
      <c r="J109" s="4">
        <v>1</v>
      </c>
      <c r="K109" s="18">
        <v>203</v>
      </c>
      <c r="L109" s="18">
        <v>9</v>
      </c>
    </row>
    <row r="110" spans="1:12" x14ac:dyDescent="0.35">
      <c r="A110" s="4" t="s">
        <v>311</v>
      </c>
      <c r="B110" s="4" t="s">
        <v>312</v>
      </c>
      <c r="C110" s="4">
        <v>2024</v>
      </c>
      <c r="D110" s="4" t="s">
        <v>47</v>
      </c>
      <c r="E110" s="15" t="s">
        <v>17</v>
      </c>
      <c r="F110" s="15" t="s">
        <v>27</v>
      </c>
      <c r="G110" s="15" t="s">
        <v>119</v>
      </c>
      <c r="H110" s="4" t="s">
        <v>95</v>
      </c>
      <c r="I110" s="4">
        <v>0</v>
      </c>
      <c r="J110" s="4">
        <v>1</v>
      </c>
      <c r="K110" s="18">
        <v>170</v>
      </c>
      <c r="L110" s="18">
        <v>6</v>
      </c>
    </row>
    <row r="111" spans="1:12" x14ac:dyDescent="0.35">
      <c r="A111" s="4" t="s">
        <v>313</v>
      </c>
      <c r="B111" s="4" t="s">
        <v>314</v>
      </c>
      <c r="C111" s="4">
        <v>2024</v>
      </c>
      <c r="D111" s="4" t="s">
        <v>47</v>
      </c>
      <c r="E111" s="15" t="s">
        <v>30</v>
      </c>
      <c r="F111" s="15" t="s">
        <v>23</v>
      </c>
      <c r="G111" s="15" t="s">
        <v>98</v>
      </c>
      <c r="H111" s="4" t="s">
        <v>95</v>
      </c>
      <c r="I111" s="4">
        <v>0</v>
      </c>
      <c r="J111" s="4">
        <v>1</v>
      </c>
      <c r="K111" s="18">
        <v>188</v>
      </c>
      <c r="L111" s="18">
        <v>8</v>
      </c>
    </row>
    <row r="112" spans="1:12" x14ac:dyDescent="0.35">
      <c r="A112" s="4" t="s">
        <v>315</v>
      </c>
      <c r="B112" s="4" t="s">
        <v>316</v>
      </c>
      <c r="C112" s="4">
        <v>2024</v>
      </c>
      <c r="D112" s="4" t="s">
        <v>47</v>
      </c>
      <c r="E112" s="15" t="s">
        <v>19</v>
      </c>
      <c r="F112" s="15" t="s">
        <v>30</v>
      </c>
      <c r="G112" s="15" t="s">
        <v>98</v>
      </c>
      <c r="H112" s="4" t="s">
        <v>102</v>
      </c>
      <c r="I112" s="4">
        <v>1</v>
      </c>
      <c r="J112" s="4">
        <v>1</v>
      </c>
      <c r="K112" s="18">
        <v>185</v>
      </c>
      <c r="L112" s="18">
        <v>9</v>
      </c>
    </row>
    <row r="113" spans="1:12" x14ac:dyDescent="0.35">
      <c r="A113" s="4" t="s">
        <v>317</v>
      </c>
      <c r="B113" s="4" t="s">
        <v>318</v>
      </c>
      <c r="C113" s="4">
        <v>2024</v>
      </c>
      <c r="D113" s="4" t="s">
        <v>47</v>
      </c>
      <c r="E113" s="15" t="s">
        <v>30</v>
      </c>
      <c r="F113" s="15" t="s">
        <v>34</v>
      </c>
      <c r="G113" s="15" t="s">
        <v>101</v>
      </c>
      <c r="H113" s="4" t="s">
        <v>102</v>
      </c>
      <c r="I113" s="4">
        <v>1</v>
      </c>
      <c r="J113" s="4">
        <v>1</v>
      </c>
      <c r="K113" s="18">
        <v>220</v>
      </c>
      <c r="L113" s="18">
        <v>8</v>
      </c>
    </row>
    <row r="114" spans="1:12" x14ac:dyDescent="0.35">
      <c r="A114" s="4" t="s">
        <v>319</v>
      </c>
      <c r="B114" s="4" t="s">
        <v>320</v>
      </c>
      <c r="C114" s="4">
        <v>2024</v>
      </c>
      <c r="D114" s="4" t="s">
        <v>47</v>
      </c>
      <c r="E114" s="15" t="s">
        <v>19</v>
      </c>
      <c r="F114" s="15" t="s">
        <v>25</v>
      </c>
      <c r="G114" s="15" t="s">
        <v>119</v>
      </c>
      <c r="H114" s="4" t="s">
        <v>95</v>
      </c>
      <c r="I114" s="4">
        <v>0</v>
      </c>
      <c r="J114" s="4">
        <v>1</v>
      </c>
      <c r="K114" s="18">
        <v>207</v>
      </c>
      <c r="L114" s="18">
        <v>4</v>
      </c>
    </row>
    <row r="115" spans="1:12" x14ac:dyDescent="0.35">
      <c r="A115" s="4" t="s">
        <v>321</v>
      </c>
      <c r="B115" s="4" t="s">
        <v>322</v>
      </c>
      <c r="C115" s="4">
        <v>2024</v>
      </c>
      <c r="D115" s="4" t="s">
        <v>47</v>
      </c>
      <c r="E115" s="15" t="s">
        <v>28</v>
      </c>
      <c r="F115" s="15" t="s">
        <v>19</v>
      </c>
      <c r="G115" s="15" t="s">
        <v>101</v>
      </c>
      <c r="H115" s="4" t="s">
        <v>95</v>
      </c>
      <c r="I115" s="4">
        <v>0</v>
      </c>
      <c r="J115" s="4">
        <v>1</v>
      </c>
      <c r="K115" s="18">
        <v>173</v>
      </c>
      <c r="L115" s="18">
        <v>7</v>
      </c>
    </row>
    <row r="116" spans="1:12" x14ac:dyDescent="0.35">
      <c r="A116" s="4" t="s">
        <v>323</v>
      </c>
      <c r="B116" s="4" t="s">
        <v>324</v>
      </c>
      <c r="C116" s="4">
        <v>2024</v>
      </c>
      <c r="D116" s="4" t="s">
        <v>47</v>
      </c>
      <c r="E116" s="15" t="s">
        <v>30</v>
      </c>
      <c r="F116" s="15" t="s">
        <v>27</v>
      </c>
      <c r="G116" s="15" t="s">
        <v>114</v>
      </c>
      <c r="H116" s="4" t="s">
        <v>95</v>
      </c>
      <c r="I116" s="4">
        <v>0</v>
      </c>
      <c r="J116" s="4">
        <v>1</v>
      </c>
      <c r="K116" s="18">
        <v>208</v>
      </c>
      <c r="L116" s="18">
        <v>6</v>
      </c>
    </row>
    <row r="117" spans="1:12" x14ac:dyDescent="0.35">
      <c r="A117" s="4" t="s">
        <v>325</v>
      </c>
      <c r="B117" s="4" t="s">
        <v>326</v>
      </c>
      <c r="C117" s="4">
        <v>2024</v>
      </c>
      <c r="D117" s="4" t="s">
        <v>47</v>
      </c>
      <c r="E117" s="15" t="s">
        <v>25</v>
      </c>
      <c r="F117" s="15" t="s">
        <v>19</v>
      </c>
      <c r="G117" s="15" t="s">
        <v>114</v>
      </c>
      <c r="H117" s="4" t="s">
        <v>102</v>
      </c>
      <c r="I117" s="4">
        <v>1</v>
      </c>
      <c r="J117" s="4">
        <v>1</v>
      </c>
      <c r="K117" s="18">
        <v>173</v>
      </c>
      <c r="L117" s="18">
        <v>8</v>
      </c>
    </row>
    <row r="118" spans="1:12" x14ac:dyDescent="0.35">
      <c r="A118" s="4" t="s">
        <v>327</v>
      </c>
      <c r="B118" s="4" t="s">
        <v>328</v>
      </c>
      <c r="C118" s="4">
        <v>2024</v>
      </c>
      <c r="D118" s="4" t="s">
        <v>47</v>
      </c>
      <c r="E118" s="15" t="s">
        <v>27</v>
      </c>
      <c r="F118" s="15" t="s">
        <v>19</v>
      </c>
      <c r="G118" s="15" t="s">
        <v>114</v>
      </c>
      <c r="H118" s="4" t="s">
        <v>102</v>
      </c>
      <c r="I118" s="4">
        <v>1</v>
      </c>
      <c r="J118" s="4">
        <v>1</v>
      </c>
      <c r="K118" s="18">
        <v>204</v>
      </c>
      <c r="L118" s="18">
        <v>7</v>
      </c>
    </row>
    <row r="119" spans="1:12" x14ac:dyDescent="0.35">
      <c r="A119" s="4" t="s">
        <v>329</v>
      </c>
      <c r="B119" s="4" t="s">
        <v>330</v>
      </c>
      <c r="C119" s="4">
        <v>2024</v>
      </c>
      <c r="D119" s="4" t="s">
        <v>47</v>
      </c>
      <c r="E119" s="15" t="s">
        <v>17</v>
      </c>
      <c r="F119" s="15" t="s">
        <v>21</v>
      </c>
      <c r="G119" s="15" t="s">
        <v>98</v>
      </c>
      <c r="H119" s="4" t="s">
        <v>102</v>
      </c>
      <c r="I119" s="4">
        <v>1</v>
      </c>
      <c r="J119" s="4">
        <v>1</v>
      </c>
      <c r="K119" s="18">
        <v>203</v>
      </c>
      <c r="L119" s="18">
        <v>3</v>
      </c>
    </row>
    <row r="120" spans="1:12" x14ac:dyDescent="0.35">
      <c r="A120" s="4" t="s">
        <v>331</v>
      </c>
      <c r="B120" s="4" t="s">
        <v>332</v>
      </c>
      <c r="C120" s="4">
        <v>2024</v>
      </c>
      <c r="D120" s="4" t="s">
        <v>47</v>
      </c>
      <c r="E120" s="15" t="s">
        <v>17</v>
      </c>
      <c r="F120" s="15" t="s">
        <v>32</v>
      </c>
      <c r="G120" s="15" t="s">
        <v>98</v>
      </c>
      <c r="H120" s="4" t="s">
        <v>102</v>
      </c>
      <c r="I120" s="4">
        <v>1</v>
      </c>
      <c r="J120" s="4">
        <v>1</v>
      </c>
      <c r="K120" s="18">
        <v>206</v>
      </c>
      <c r="L120" s="18">
        <v>8</v>
      </c>
    </row>
    <row r="121" spans="1:12" x14ac:dyDescent="0.35">
      <c r="A121" s="4" t="s">
        <v>333</v>
      </c>
      <c r="B121" s="4" t="s">
        <v>334</v>
      </c>
      <c r="C121" s="4">
        <v>2024</v>
      </c>
      <c r="D121" s="4" t="s">
        <v>170</v>
      </c>
      <c r="E121" s="15" t="s">
        <v>32</v>
      </c>
      <c r="F121" s="15" t="s">
        <v>34</v>
      </c>
      <c r="G121" s="15" t="s">
        <v>119</v>
      </c>
      <c r="H121" s="4" t="s">
        <v>102</v>
      </c>
      <c r="I121" s="4">
        <v>1</v>
      </c>
      <c r="J121" s="4">
        <v>1</v>
      </c>
      <c r="K121" s="18">
        <v>253</v>
      </c>
      <c r="L121" s="18">
        <v>7</v>
      </c>
    </row>
    <row r="122" spans="1:12" x14ac:dyDescent="0.35">
      <c r="A122" s="4" t="s">
        <v>335</v>
      </c>
      <c r="B122" s="4" t="s">
        <v>336</v>
      </c>
      <c r="C122" s="4">
        <v>2024</v>
      </c>
      <c r="D122" s="4" t="s">
        <v>170</v>
      </c>
      <c r="E122" s="15" t="s">
        <v>27</v>
      </c>
      <c r="F122" s="15" t="s">
        <v>23</v>
      </c>
      <c r="G122" s="15" t="s">
        <v>119</v>
      </c>
      <c r="H122" s="4" t="s">
        <v>102</v>
      </c>
      <c r="I122" s="4">
        <v>1</v>
      </c>
      <c r="J122" s="4">
        <v>1</v>
      </c>
      <c r="K122" s="18">
        <v>253</v>
      </c>
      <c r="L122" s="18">
        <v>7</v>
      </c>
    </row>
    <row r="123" spans="1:12" x14ac:dyDescent="0.35">
      <c r="A123" s="4" t="s">
        <v>337</v>
      </c>
      <c r="B123" s="4" t="s">
        <v>338</v>
      </c>
      <c r="C123" s="4">
        <v>2024</v>
      </c>
      <c r="D123" s="4" t="s">
        <v>170</v>
      </c>
      <c r="E123" s="15" t="s">
        <v>27</v>
      </c>
      <c r="F123" s="15" t="s">
        <v>21</v>
      </c>
      <c r="G123" s="15" t="s">
        <v>101</v>
      </c>
      <c r="H123" s="4" t="s">
        <v>95</v>
      </c>
      <c r="I123" s="4">
        <v>0</v>
      </c>
      <c r="J123" s="4">
        <v>1</v>
      </c>
      <c r="K123" s="18">
        <v>171</v>
      </c>
      <c r="L123" s="18">
        <v>5</v>
      </c>
    </row>
    <row r="124" spans="1:12" x14ac:dyDescent="0.35">
      <c r="A124" s="4" t="s">
        <v>339</v>
      </c>
      <c r="B124" s="4" t="s">
        <v>340</v>
      </c>
      <c r="C124" s="4">
        <v>2024</v>
      </c>
      <c r="D124" s="4" t="s">
        <v>170</v>
      </c>
      <c r="E124" s="15" t="s">
        <v>32</v>
      </c>
      <c r="F124" s="15" t="s">
        <v>25</v>
      </c>
      <c r="G124" s="15" t="s">
        <v>119</v>
      </c>
      <c r="H124" s="4" t="s">
        <v>95</v>
      </c>
      <c r="I124" s="4">
        <v>0</v>
      </c>
      <c r="J124" s="4">
        <v>1</v>
      </c>
      <c r="K124" s="18">
        <v>203</v>
      </c>
      <c r="L124" s="18">
        <v>3</v>
      </c>
    </row>
  </sheetData>
  <mergeCells count="2">
    <mergeCell ref="A2:L2"/>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8"/>
  <sheetViews>
    <sheetView workbookViewId="0"/>
  </sheetViews>
  <sheetFormatPr defaultRowHeight="14.5" x14ac:dyDescent="0.35"/>
  <cols>
    <col min="1" max="1" width="18" customWidth="1"/>
    <col min="2" max="9" width="13" customWidth="1"/>
  </cols>
  <sheetData>
    <row r="1" spans="1:9" ht="34" customHeight="1" x14ac:dyDescent="0.35">
      <c r="A1" s="24" t="s">
        <v>341</v>
      </c>
      <c r="B1" s="21"/>
      <c r="C1" s="21"/>
      <c r="D1" s="21"/>
      <c r="E1" s="21"/>
      <c r="F1" s="21"/>
      <c r="G1" s="21"/>
      <c r="H1" s="21"/>
      <c r="I1" s="21"/>
    </row>
    <row r="2" spans="1:9" ht="20" customHeight="1" x14ac:dyDescent="0.35">
      <c r="A2" s="27" t="s">
        <v>342</v>
      </c>
      <c r="B2" s="21"/>
      <c r="C2" s="21"/>
      <c r="D2" s="21"/>
      <c r="E2" s="21"/>
      <c r="F2" s="21"/>
      <c r="G2" s="21"/>
      <c r="H2" s="21"/>
      <c r="I2" s="21"/>
    </row>
    <row r="4" spans="1:9" ht="15.5" x14ac:dyDescent="0.35">
      <c r="A4" s="19" t="s">
        <v>343</v>
      </c>
    </row>
    <row r="5" spans="1:9" x14ac:dyDescent="0.35">
      <c r="A5" s="29" t="s">
        <v>344</v>
      </c>
      <c r="B5" s="30"/>
      <c r="C5" s="30"/>
      <c r="D5" s="30"/>
      <c r="E5" s="30"/>
      <c r="F5" s="30"/>
      <c r="G5" s="30"/>
      <c r="H5" s="30"/>
      <c r="I5" s="30"/>
    </row>
    <row r="6" spans="1:9" x14ac:dyDescent="0.35">
      <c r="A6" s="30"/>
      <c r="B6" s="30"/>
      <c r="C6" s="30"/>
      <c r="D6" s="30"/>
      <c r="E6" s="30"/>
      <c r="F6" s="30"/>
      <c r="G6" s="30"/>
      <c r="H6" s="30"/>
      <c r="I6" s="30"/>
    </row>
    <row r="7" spans="1:9" x14ac:dyDescent="0.35">
      <c r="A7" s="30"/>
      <c r="B7" s="30"/>
      <c r="C7" s="30"/>
      <c r="D7" s="30"/>
      <c r="E7" s="30"/>
      <c r="F7" s="30"/>
      <c r="G7" s="30"/>
      <c r="H7" s="30"/>
      <c r="I7" s="30"/>
    </row>
    <row r="8" spans="1:9" x14ac:dyDescent="0.35">
      <c r="A8" s="30"/>
      <c r="B8" s="30"/>
      <c r="C8" s="30"/>
      <c r="D8" s="30"/>
      <c r="E8" s="30"/>
      <c r="F8" s="30"/>
      <c r="G8" s="30"/>
      <c r="H8" s="30"/>
      <c r="I8" s="30"/>
    </row>
    <row r="10" spans="1:9" ht="15.5" x14ac:dyDescent="0.35">
      <c r="A10" s="19" t="s">
        <v>345</v>
      </c>
    </row>
    <row r="11" spans="1:9" x14ac:dyDescent="0.35">
      <c r="A11" s="29" t="s">
        <v>346</v>
      </c>
      <c r="B11" s="30"/>
      <c r="C11" s="30"/>
      <c r="D11" s="30"/>
      <c r="E11" s="30"/>
      <c r="F11" s="30"/>
      <c r="G11" s="30"/>
      <c r="H11" s="30"/>
      <c r="I11" s="30"/>
    </row>
    <row r="12" spans="1:9" x14ac:dyDescent="0.35">
      <c r="A12" s="30"/>
      <c r="B12" s="30"/>
      <c r="C12" s="30"/>
      <c r="D12" s="30"/>
      <c r="E12" s="30"/>
      <c r="F12" s="30"/>
      <c r="G12" s="30"/>
      <c r="H12" s="30"/>
      <c r="I12" s="30"/>
    </row>
    <row r="13" spans="1:9" x14ac:dyDescent="0.35">
      <c r="A13" s="30"/>
      <c r="B13" s="30"/>
      <c r="C13" s="30"/>
      <c r="D13" s="30"/>
      <c r="E13" s="30"/>
      <c r="F13" s="30"/>
      <c r="G13" s="30"/>
      <c r="H13" s="30"/>
      <c r="I13" s="30"/>
    </row>
    <row r="14" spans="1:9" x14ac:dyDescent="0.35">
      <c r="A14" s="30"/>
      <c r="B14" s="30"/>
      <c r="C14" s="30"/>
      <c r="D14" s="30"/>
      <c r="E14" s="30"/>
      <c r="F14" s="30"/>
      <c r="G14" s="30"/>
      <c r="H14" s="30"/>
      <c r="I14" s="30"/>
    </row>
    <row r="16" spans="1:9" ht="15.5" x14ac:dyDescent="0.35">
      <c r="A16" s="19" t="s">
        <v>347</v>
      </c>
    </row>
    <row r="17" spans="1:9" x14ac:dyDescent="0.35">
      <c r="A17" s="29" t="s">
        <v>348</v>
      </c>
      <c r="B17" s="30"/>
      <c r="C17" s="30"/>
      <c r="D17" s="30"/>
      <c r="E17" s="30"/>
      <c r="F17" s="30"/>
      <c r="G17" s="30"/>
      <c r="H17" s="30"/>
      <c r="I17" s="30"/>
    </row>
    <row r="18" spans="1:9" x14ac:dyDescent="0.35">
      <c r="A18" s="30"/>
      <c r="B18" s="30"/>
      <c r="C18" s="30"/>
      <c r="D18" s="30"/>
      <c r="E18" s="30"/>
      <c r="F18" s="30"/>
      <c r="G18" s="30"/>
      <c r="H18" s="30"/>
      <c r="I18" s="30"/>
    </row>
    <row r="19" spans="1:9" x14ac:dyDescent="0.35">
      <c r="A19" s="30"/>
      <c r="B19" s="30"/>
      <c r="C19" s="30"/>
      <c r="D19" s="30"/>
      <c r="E19" s="30"/>
      <c r="F19" s="30"/>
      <c r="G19" s="30"/>
      <c r="H19" s="30"/>
      <c r="I19" s="30"/>
    </row>
    <row r="20" spans="1:9" x14ac:dyDescent="0.35">
      <c r="A20" s="30"/>
      <c r="B20" s="30"/>
      <c r="C20" s="30"/>
      <c r="D20" s="30"/>
      <c r="E20" s="30"/>
      <c r="F20" s="30"/>
      <c r="G20" s="30"/>
      <c r="H20" s="30"/>
      <c r="I20" s="30"/>
    </row>
    <row r="22" spans="1:9" ht="15.5" x14ac:dyDescent="0.35">
      <c r="A22" s="19" t="s">
        <v>349</v>
      </c>
    </row>
    <row r="23" spans="1:9" x14ac:dyDescent="0.35">
      <c r="A23" s="29" t="s">
        <v>350</v>
      </c>
      <c r="B23" s="30"/>
      <c r="C23" s="30"/>
      <c r="D23" s="30"/>
      <c r="E23" s="30"/>
      <c r="F23" s="30"/>
      <c r="G23" s="30"/>
      <c r="H23" s="30"/>
      <c r="I23" s="30"/>
    </row>
    <row r="24" spans="1:9" x14ac:dyDescent="0.35">
      <c r="A24" s="30"/>
      <c r="B24" s="30"/>
      <c r="C24" s="30"/>
      <c r="D24" s="30"/>
      <c r="E24" s="30"/>
      <c r="F24" s="30"/>
      <c r="G24" s="30"/>
      <c r="H24" s="30"/>
      <c r="I24" s="30"/>
    </row>
    <row r="25" spans="1:9" x14ac:dyDescent="0.35">
      <c r="A25" s="30"/>
      <c r="B25" s="30"/>
      <c r="C25" s="30"/>
      <c r="D25" s="30"/>
      <c r="E25" s="30"/>
      <c r="F25" s="30"/>
      <c r="G25" s="30"/>
      <c r="H25" s="30"/>
      <c r="I25" s="30"/>
    </row>
    <row r="26" spans="1:9" x14ac:dyDescent="0.35">
      <c r="A26" s="30"/>
      <c r="B26" s="30"/>
      <c r="C26" s="30"/>
      <c r="D26" s="30"/>
      <c r="E26" s="30"/>
      <c r="F26" s="30"/>
      <c r="G26" s="30"/>
      <c r="H26" s="30"/>
      <c r="I26" s="30"/>
    </row>
    <row r="28" spans="1:9" ht="15.5" x14ac:dyDescent="0.35">
      <c r="A28" s="19" t="s">
        <v>351</v>
      </c>
    </row>
    <row r="29" spans="1:9" x14ac:dyDescent="0.35">
      <c r="A29" s="29" t="s">
        <v>352</v>
      </c>
      <c r="B29" s="30"/>
      <c r="C29" s="30"/>
      <c r="D29" s="30"/>
      <c r="E29" s="30"/>
      <c r="F29" s="30"/>
      <c r="G29" s="30"/>
      <c r="H29" s="30"/>
      <c r="I29" s="30"/>
    </row>
    <row r="30" spans="1:9" x14ac:dyDescent="0.35">
      <c r="A30" s="30"/>
      <c r="B30" s="30"/>
      <c r="C30" s="30"/>
      <c r="D30" s="30"/>
      <c r="E30" s="30"/>
      <c r="F30" s="30"/>
      <c r="G30" s="30"/>
      <c r="H30" s="30"/>
      <c r="I30" s="30"/>
    </row>
    <row r="31" spans="1:9" x14ac:dyDescent="0.35">
      <c r="A31" s="30"/>
      <c r="B31" s="30"/>
      <c r="C31" s="30"/>
      <c r="D31" s="30"/>
      <c r="E31" s="30"/>
      <c r="F31" s="30"/>
      <c r="G31" s="30"/>
      <c r="H31" s="30"/>
      <c r="I31" s="30"/>
    </row>
    <row r="32" spans="1:9" x14ac:dyDescent="0.35">
      <c r="A32" s="30"/>
      <c r="B32" s="30"/>
      <c r="C32" s="30"/>
      <c r="D32" s="30"/>
      <c r="E32" s="30"/>
      <c r="F32" s="30"/>
      <c r="G32" s="30"/>
      <c r="H32" s="30"/>
      <c r="I32" s="30"/>
    </row>
    <row r="34" spans="1:9" ht="15.5" x14ac:dyDescent="0.35">
      <c r="A34" s="19" t="s">
        <v>353</v>
      </c>
    </row>
    <row r="35" spans="1:9" x14ac:dyDescent="0.35">
      <c r="A35" s="29" t="s">
        <v>354</v>
      </c>
      <c r="B35" s="30"/>
      <c r="C35" s="30"/>
      <c r="D35" s="30"/>
      <c r="E35" s="30"/>
      <c r="F35" s="30"/>
      <c r="G35" s="30"/>
      <c r="H35" s="30"/>
      <c r="I35" s="30"/>
    </row>
    <row r="36" spans="1:9" x14ac:dyDescent="0.35">
      <c r="A36" s="30"/>
      <c r="B36" s="30"/>
      <c r="C36" s="30"/>
      <c r="D36" s="30"/>
      <c r="E36" s="30"/>
      <c r="F36" s="30"/>
      <c r="G36" s="30"/>
      <c r="H36" s="30"/>
      <c r="I36" s="30"/>
    </row>
    <row r="37" spans="1:9" x14ac:dyDescent="0.35">
      <c r="A37" s="30"/>
      <c r="B37" s="30"/>
      <c r="C37" s="30"/>
      <c r="D37" s="30"/>
      <c r="E37" s="30"/>
      <c r="F37" s="30"/>
      <c r="G37" s="30"/>
      <c r="H37" s="30"/>
      <c r="I37" s="30"/>
    </row>
    <row r="38" spans="1:9" x14ac:dyDescent="0.35">
      <c r="A38" s="30"/>
      <c r="B38" s="30"/>
      <c r="C38" s="30"/>
      <c r="D38" s="30"/>
      <c r="E38" s="30"/>
      <c r="F38" s="30"/>
      <c r="G38" s="30"/>
      <c r="H38" s="30"/>
      <c r="I38" s="30"/>
    </row>
  </sheetData>
  <mergeCells count="8">
    <mergeCell ref="A1:I1"/>
    <mergeCell ref="A23:I26"/>
    <mergeCell ref="A17:I20"/>
    <mergeCell ref="A11:I14"/>
    <mergeCell ref="A35:I38"/>
    <mergeCell ref="A2:I2"/>
    <mergeCell ref="A29:I32"/>
    <mergeCell ref="A5:I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Dashboard</vt:lpstr>
      <vt:lpstr>Task 1-3 - Matches &amp; Slicers</vt:lpstr>
      <vt:lpstr>Task 5 - Wins Per Year</vt:lpstr>
      <vt:lpstr>IPL Raw Dataset</vt:lpstr>
      <vt:lpstr>Trainer Coverage &amp;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 barot</cp:lastModifiedBy>
  <dcterms:created xsi:type="dcterms:W3CDTF">2026-10-02T07:15:35Z</dcterms:created>
  <dcterms:modified xsi:type="dcterms:W3CDTF">2026-10-02T07:17:34Z</dcterms:modified>
</cp:coreProperties>
</file>