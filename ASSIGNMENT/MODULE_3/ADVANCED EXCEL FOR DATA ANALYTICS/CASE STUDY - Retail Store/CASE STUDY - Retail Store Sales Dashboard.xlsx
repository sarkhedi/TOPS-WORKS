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CASE STUDY - Retail Store/"/>
    </mc:Choice>
  </mc:AlternateContent>
  <xr:revisionPtr revIDLastSave="5" documentId="11_5EF75862CCE932BBECEB264408CD0FB2AA5E8259" xr6:coauthVersionLast="47" xr6:coauthVersionMax="47" xr10:uidLastSave="{D44BBF49-F4B8-43D9-8315-19A05AED7FAB}"/>
  <bookViews>
    <workbookView xWindow="-110" yWindow="-110" windowWidth="19420" windowHeight="11020" firstSheet="4" activeTab="4" xr2:uid="{00000000-000D-0000-FFFF-FFFF00000000}"/>
  </bookViews>
  <sheets>
    <sheet name="Retail Sales Dashboard" sheetId="1" r:id="rId1"/>
    <sheet name="Task 2 - Regional Pivot" sheetId="2" r:id="rId2"/>
    <sheet name="Task 5 - Top 5 Sub-Categories" sheetId="3" r:id="rId3"/>
    <sheet name="Cleaned Superstore Data" sheetId="4" r:id="rId4"/>
    <sheet name="Raw Superstore Data (100 Rows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3" l="1"/>
  <c r="F10" i="3" s="1"/>
  <c r="D10" i="3"/>
  <c r="E9" i="3"/>
  <c r="F9" i="3" s="1"/>
  <c r="D9" i="3"/>
  <c r="E8" i="3"/>
  <c r="F8" i="3" s="1"/>
  <c r="D8" i="3"/>
  <c r="E7" i="3"/>
  <c r="D7" i="3"/>
  <c r="F7" i="3" s="1"/>
  <c r="E6" i="3"/>
  <c r="F6" i="3" s="1"/>
  <c r="D6" i="3"/>
  <c r="B10" i="2"/>
  <c r="C9" i="2"/>
  <c r="D9" i="2" s="1"/>
  <c r="B9" i="2"/>
  <c r="D8" i="2"/>
  <c r="C8" i="2"/>
  <c r="B8" i="2"/>
  <c r="C7" i="2"/>
  <c r="D7" i="2" s="1"/>
  <c r="B7" i="2"/>
  <c r="C6" i="2"/>
  <c r="C10" i="2" s="1"/>
  <c r="D10" i="2" s="1"/>
  <c r="B6" i="2"/>
  <c r="D11" i="1"/>
  <c r="C11" i="1"/>
  <c r="B11" i="1"/>
  <c r="C10" i="1"/>
  <c r="D10" i="1" s="1"/>
  <c r="B10" i="1"/>
  <c r="C9" i="1"/>
  <c r="D9" i="1" s="1"/>
  <c r="B9" i="1"/>
  <c r="B12" i="1" s="1"/>
  <c r="J5" i="1"/>
  <c r="G5" i="1"/>
  <c r="D5" i="1"/>
  <c r="A5" i="1"/>
  <c r="C12" i="1" l="1"/>
  <c r="D12" i="1" s="1"/>
  <c r="D6" i="2"/>
</calcChain>
</file>

<file path=xl/sharedStrings.xml><?xml version="1.0" encoding="utf-8"?>
<sst xmlns="http://schemas.openxmlformats.org/spreadsheetml/2006/main" count="2520" uniqueCount="504">
  <si>
    <t>RETAIL STORE SALES PERFORMANCE DASHBOARD (KAGGLE SUPERSTORE)</t>
  </si>
  <si>
    <t>Executive Sales, Profitability &amp; Category Breakdown with Pivot Charts (Tasks 1 to 5)</t>
  </si>
  <si>
    <t>💰 TOTAL SALES</t>
  </si>
  <si>
    <t>📈 TOTAL PROFIT</t>
  </si>
  <si>
    <t>📦 TOTAL UNIQUE ORDERS</t>
  </si>
  <si>
    <t>🏷️ OVERALL PROFIT MARGIN</t>
  </si>
  <si>
    <t>Pivot Summary: Sales &amp; Profit by Category</t>
  </si>
  <si>
    <t>Category</t>
  </si>
  <si>
    <t>Sales ($)</t>
  </si>
  <si>
    <t>Profit ($)</t>
  </si>
  <si>
    <t>Margin %</t>
  </si>
  <si>
    <t>Technology</t>
  </si>
  <si>
    <t>Office Supplies</t>
  </si>
  <si>
    <t>Furniture</t>
  </si>
  <si>
    <t>Total</t>
  </si>
  <si>
    <t>TASK 2: PIVOT TABLE ANALYZING SALES &amp; PROFIT BY REGION</t>
  </si>
  <si>
    <t>Identifying Profitable Regions &amp; Highlighting the Highest Profit Performer (West Region)</t>
  </si>
  <si>
    <t>Pivot Table: Regional Sales &amp; Profitability Analysis</t>
  </si>
  <si>
    <t>Region Name</t>
  </si>
  <si>
    <t>Total Sales ($)</t>
  </si>
  <si>
    <t>Total Profit ($)</t>
  </si>
  <si>
    <t>Profit Margin %</t>
  </si>
  <si>
    <t>Profitability Rank &amp; Status</t>
  </si>
  <si>
    <t>West</t>
  </si>
  <si>
    <t>⭐ #1 HIGHEST PROFIT REGION (Top Performer)</t>
  </si>
  <si>
    <t>East</t>
  </si>
  <si>
    <t>🥈 #2 Strong Contender (High Volume)</t>
  </si>
  <si>
    <t>Central</t>
  </si>
  <si>
    <t>Moderate Margins (Discount sensitive)</t>
  </si>
  <si>
    <t>South</t>
  </si>
  <si>
    <t>💡 Task 2 Regional Insights:</t>
  </si>
  <si>
    <t>• The West Region achieves the highest total profit, driven by high technology and office supply demand in California &amp; Washington.</t>
  </si>
  <si>
    <t>• Highlighting: In Excel PivotTable, apply Conditional Formatting (Top 1 Value) or Gold fill to immediately emphasize the top profit winner.</t>
  </si>
  <si>
    <t>TASK 5: TOP 5 MOST PROFITABLE SUB-CATEGORIES (QUICK ANALYSIS &amp; CHART)</t>
  </si>
  <si>
    <t>Visualizing Top 5 Profit Drivers with Findings and Profit Margin Analysis</t>
  </si>
  <si>
    <t>Ranked Sub-Categories by Total Profit:</t>
  </si>
  <si>
    <t>Rank</t>
  </si>
  <si>
    <t>Sub-Category</t>
  </si>
  <si>
    <t>#1</t>
  </si>
  <si>
    <t>Copiers</t>
  </si>
  <si>
    <t>#2</t>
  </si>
  <si>
    <t>Phones</t>
  </si>
  <si>
    <t>#3</t>
  </si>
  <si>
    <t>Accessories</t>
  </si>
  <si>
    <t>#4</t>
  </si>
  <si>
    <t>Paper</t>
  </si>
  <si>
    <t>#5</t>
  </si>
  <si>
    <t>Binders</t>
  </si>
  <si>
    <t>📝 TASK 5: COMMENT BOX ON FINDINGS:</t>
  </si>
  <si>
    <t>FINDINGS &amp; ANALYSIS:
1. Copiers &amp; Phones are the undisputed profit champions of the retail store, contributing the highest dollar profit per unit sold.
2. High Profit Margin: Accessories and Paper consistently sustain profit margins exceeding 25-30% because they are purchased regularly and rarely require heavy discounting.
3. Contrast with Furniture: Notice that zero Furniture sub-categories qualify for the Top 5. Furniture items suffer from high shipping costs and steep promotional discounts.
4. Recommended Charts / Quick Analysis: Selected range B5:E10 -&gt; Pressed Ctrl + Q -&gt; Charts -&gt; Clustered Bar.</t>
  </si>
  <si>
    <t>TASK 1 &amp; 3: CLEANED SUPERSTORE DATASET (80 UNIQUE ORDERS)</t>
  </si>
  <si>
    <t>Task 1: Deduplicated Order IDs | Task 3: Conditional Formatting Highlight for Discount &gt; 20% AND Profit &lt; 0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</si>
  <si>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</si>
  <si>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</si>
  <si>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</si>
  <si>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</si>
  <si>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</si>
  <si>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</si>
  <si>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</si>
  <si>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</si>
  <si>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</si>
  <si>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</si>
  <si>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</si>
  <si>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Sales</t>
  </si>
  <si>
    <t>Quantity</t>
  </si>
  <si>
    <t>Discount</t>
  </si>
  <si>
    <t>Profit</t>
  </si>
  <si>
    <t>High Discount &amp; Loss Flag</t>
  </si>
  <si>
    <t>CA-2023-10001</t>
  </si>
  <si>
    <t>2023-10-25</t>
  </si>
  <si>
    <t>2023-10-28</t>
  </si>
  <si>
    <t>First Class</t>
  </si>
  <si>
    <t>CG-501</t>
  </si>
  <si>
    <t>Corporate</t>
  </si>
  <si>
    <t>United States</t>
  </si>
  <si>
    <t>San Francisco</t>
  </si>
  <si>
    <t>California</t>
  </si>
  <si>
    <t>FUR-FUR-395</t>
  </si>
  <si>
    <t>Furnishings</t>
  </si>
  <si>
    <t>Normal</t>
  </si>
  <si>
    <t>CA-2023-10002</t>
  </si>
  <si>
    <t>2023-08-13</t>
  </si>
  <si>
    <t>2023-08-15</t>
  </si>
  <si>
    <t>CG-502</t>
  </si>
  <si>
    <t>Consumer</t>
  </si>
  <si>
    <t>New York City</t>
  </si>
  <si>
    <t>New York</t>
  </si>
  <si>
    <t>OFF-SUP-475</t>
  </si>
  <si>
    <t>Supplies</t>
  </si>
  <si>
    <t>CA-2023-10003</t>
  </si>
  <si>
    <t>2023-07-26</t>
  </si>
  <si>
    <t>2023-07-31</t>
  </si>
  <si>
    <t>Second Class</t>
  </si>
  <si>
    <t>CG-503</t>
  </si>
  <si>
    <t>Richmond</t>
  </si>
  <si>
    <t>Virginia</t>
  </si>
  <si>
    <t>OFF-APP-213</t>
  </si>
  <si>
    <t>Appliances</t>
  </si>
  <si>
    <t>CA-2023-10004</t>
  </si>
  <si>
    <t>2023-07-14</t>
  </si>
  <si>
    <t>2023-07-17</t>
  </si>
  <si>
    <t>Same Day</t>
  </si>
  <si>
    <t>CG-504</t>
  </si>
  <si>
    <t>TEC-MAC-321</t>
  </si>
  <si>
    <t>Machines</t>
  </si>
  <si>
    <t>CA-2023-10005</t>
  </si>
  <si>
    <t>2023-07-04</t>
  </si>
  <si>
    <t>2023-07-06</t>
  </si>
  <si>
    <t>CG-505</t>
  </si>
  <si>
    <t>Home Office</t>
  </si>
  <si>
    <t>OFF-STO-384</t>
  </si>
  <si>
    <t>Storage</t>
  </si>
  <si>
    <t>CA-2023-10006</t>
  </si>
  <si>
    <t>2023-07-05</t>
  </si>
  <si>
    <t>2023-07-11</t>
  </si>
  <si>
    <t>CG-506</t>
  </si>
  <si>
    <t>Atlanta</t>
  </si>
  <si>
    <t>Georgia</t>
  </si>
  <si>
    <t>TEC-COP-186</t>
  </si>
  <si>
    <t>CA-2023-10007</t>
  </si>
  <si>
    <t>2023-08-17</t>
  </si>
  <si>
    <t>CG-507</t>
  </si>
  <si>
    <t>Philadelphia</t>
  </si>
  <si>
    <t>Pennsylvania</t>
  </si>
  <si>
    <t>TEC-MAC-242</t>
  </si>
  <si>
    <t>⚠️ Loss Order (Disc &gt; 20% &amp; Loss)</t>
  </si>
  <si>
    <t>CA-2023-10008</t>
  </si>
  <si>
    <t>2023-02-04</t>
  </si>
  <si>
    <t>2023-02-06</t>
  </si>
  <si>
    <t>CG-508</t>
  </si>
  <si>
    <t>OFF-ENV-192</t>
  </si>
  <si>
    <t>Envelopes</t>
  </si>
  <si>
    <t>CA-2023-10009</t>
  </si>
  <si>
    <t>2023-08-06</t>
  </si>
  <si>
    <t>2023-08-08</t>
  </si>
  <si>
    <t>CG-509</t>
  </si>
  <si>
    <t>Seattle</t>
  </si>
  <si>
    <t>Washington</t>
  </si>
  <si>
    <t>FUR-FUR-112</t>
  </si>
  <si>
    <t>CA-2023-10010</t>
  </si>
  <si>
    <t>2023-10-19</t>
  </si>
  <si>
    <t>2023-10-21</t>
  </si>
  <si>
    <t>CG-510</t>
  </si>
  <si>
    <t>Detroit</t>
  </si>
  <si>
    <t>Michigan</t>
  </si>
  <si>
    <t>FUR-FUR-665</t>
  </si>
  <si>
    <t>CA-2023-10011</t>
  </si>
  <si>
    <t>2023-12-14</t>
  </si>
  <si>
    <t>2023-12-18</t>
  </si>
  <si>
    <t>CG-511</t>
  </si>
  <si>
    <t>FUR-CHA-321</t>
  </si>
  <si>
    <t>Chairs</t>
  </si>
  <si>
    <t>CA-2023-10012</t>
  </si>
  <si>
    <t>2023-07-09</t>
  </si>
  <si>
    <t>CG-512</t>
  </si>
  <si>
    <t>Boston</t>
  </si>
  <si>
    <t>Massachusetts</t>
  </si>
  <si>
    <t>FUR-FUR-230</t>
  </si>
  <si>
    <t>CA-2023-10013</t>
  </si>
  <si>
    <t>2023-06-04</t>
  </si>
  <si>
    <t>2023-06-08</t>
  </si>
  <si>
    <t>CG-513</t>
  </si>
  <si>
    <t>Columbus</t>
  </si>
  <si>
    <t>Ohio</t>
  </si>
  <si>
    <t>OFF-PAP-351</t>
  </si>
  <si>
    <t>CA-2023-10014</t>
  </si>
  <si>
    <t>2023-08-18</t>
  </si>
  <si>
    <t>Standard Class</t>
  </si>
  <si>
    <t>CG-514</t>
  </si>
  <si>
    <t>OFF-PAP-113</t>
  </si>
  <si>
    <t>CA-2023-10015</t>
  </si>
  <si>
    <t>2023-03-15</t>
  </si>
  <si>
    <t>2023-03-20</t>
  </si>
  <si>
    <t>CG-515</t>
  </si>
  <si>
    <t>Chicago</t>
  </si>
  <si>
    <t>Illinois</t>
  </si>
  <si>
    <t>FUR-CHA-739</t>
  </si>
  <si>
    <t>CA-2023-10016</t>
  </si>
  <si>
    <t>2023-08-29</t>
  </si>
  <si>
    <t>2023-09-03</t>
  </si>
  <si>
    <t>CG-516</t>
  </si>
  <si>
    <t>OFF-APP-759</t>
  </si>
  <si>
    <t>CA-2023-10017</t>
  </si>
  <si>
    <t>2023-03-30</t>
  </si>
  <si>
    <t>2023-04-05</t>
  </si>
  <si>
    <t>CG-517</t>
  </si>
  <si>
    <t>TEC-PHO-207</t>
  </si>
  <si>
    <t>CA-2023-10018</t>
  </si>
  <si>
    <t>2023-09-04</t>
  </si>
  <si>
    <t>2023-09-07</t>
  </si>
  <si>
    <t>CG-518</t>
  </si>
  <si>
    <t>Denver</t>
  </si>
  <si>
    <t>Colorado</t>
  </si>
  <si>
    <t>FUR-CHA-381</t>
  </si>
  <si>
    <t>CA-2023-10019</t>
  </si>
  <si>
    <t>2023-05-28</t>
  </si>
  <si>
    <t>2023-06-03</t>
  </si>
  <si>
    <t>CG-519</t>
  </si>
  <si>
    <t>Dallas</t>
  </si>
  <si>
    <t>Texas</t>
  </si>
  <si>
    <t>TEC-PHO-840</t>
  </si>
  <si>
    <t>CA-2023-10020</t>
  </si>
  <si>
    <t>2023-11-21</t>
  </si>
  <si>
    <t>2023-11-25</t>
  </si>
  <si>
    <t>CG-520</t>
  </si>
  <si>
    <t>TEC-MAC-349</t>
  </si>
  <si>
    <t>CA-2023-10021</t>
  </si>
  <si>
    <t>CG-521</t>
  </si>
  <si>
    <t>OFF-PAP-329</t>
  </si>
  <si>
    <t>CA-2023-10022</t>
  </si>
  <si>
    <t>2023-07-12</t>
  </si>
  <si>
    <t>2023-07-15</t>
  </si>
  <si>
    <t>CG-522</t>
  </si>
  <si>
    <t>FUR-TAB-970</t>
  </si>
  <si>
    <t>Tables</t>
  </si>
  <si>
    <t>CA-2023-10023</t>
  </si>
  <si>
    <t>2023-12-05</t>
  </si>
  <si>
    <t>2023-12-07</t>
  </si>
  <si>
    <t>CG-523</t>
  </si>
  <si>
    <t>TEC-ACC-158</t>
  </si>
  <si>
    <t>CA-2023-10024</t>
  </si>
  <si>
    <t>2023-07-20</t>
  </si>
  <si>
    <t>2023-07-22</t>
  </si>
  <si>
    <t>CG-524</t>
  </si>
  <si>
    <t>OFF-APP-800</t>
  </si>
  <si>
    <t>CA-2023-10025</t>
  </si>
  <si>
    <t>2023-09-22</t>
  </si>
  <si>
    <t>2023-09-27</t>
  </si>
  <si>
    <t>CG-525</t>
  </si>
  <si>
    <t>Miami</t>
  </si>
  <si>
    <t>Florida</t>
  </si>
  <si>
    <t>TEC-COP-830</t>
  </si>
  <si>
    <t>CA-2023-10026</t>
  </si>
  <si>
    <t>2023-11-17</t>
  </si>
  <si>
    <t>CG-526</t>
  </si>
  <si>
    <t>TEC-PHO-888</t>
  </si>
  <si>
    <t>CA-2023-10027</t>
  </si>
  <si>
    <t>2023-09-06</t>
  </si>
  <si>
    <t>CG-527</t>
  </si>
  <si>
    <t>OFF-LAB-268</t>
  </si>
  <si>
    <t>Labels</t>
  </si>
  <si>
    <t>CA-2023-10028</t>
  </si>
  <si>
    <t>2023-10-03</t>
  </si>
  <si>
    <t>2023-10-09</t>
  </si>
  <si>
    <t>CG-528</t>
  </si>
  <si>
    <t>Charlotte</t>
  </si>
  <si>
    <t>North Carolina</t>
  </si>
  <si>
    <t>FUR-CHA-483</t>
  </si>
  <si>
    <t>CA-2023-10029</t>
  </si>
  <si>
    <t>2023-03-23</t>
  </si>
  <si>
    <t>2023-03-29</t>
  </si>
  <si>
    <t>CG-529</t>
  </si>
  <si>
    <t>Houston</t>
  </si>
  <si>
    <t>FUR-CHA-297</t>
  </si>
  <si>
    <t>CA-2023-10030</t>
  </si>
  <si>
    <t>2023-03-03</t>
  </si>
  <si>
    <t>2023-03-09</t>
  </si>
  <si>
    <t>CG-530</t>
  </si>
  <si>
    <t>TEC-PHO-290</t>
  </si>
  <si>
    <t>CA-2023-10031</t>
  </si>
  <si>
    <t>2023-04-02</t>
  </si>
  <si>
    <t>CG-531</t>
  </si>
  <si>
    <t>FUR-CHA-107</t>
  </si>
  <si>
    <t>CA-2023-10032</t>
  </si>
  <si>
    <t>2023-11-24</t>
  </si>
  <si>
    <t>CG-532</t>
  </si>
  <si>
    <t>TEC-ACC-458</t>
  </si>
  <si>
    <t>CA-2023-10033</t>
  </si>
  <si>
    <t>2023-05-27</t>
  </si>
  <si>
    <t>2023-06-02</t>
  </si>
  <si>
    <t>CG-533</t>
  </si>
  <si>
    <t>OFF-BIN-640</t>
  </si>
  <si>
    <t>CA-2023-10034</t>
  </si>
  <si>
    <t>2023-08-22</t>
  </si>
  <si>
    <t>CG-534</t>
  </si>
  <si>
    <t>Los Angeles</t>
  </si>
  <si>
    <t>OFF-LAB-997</t>
  </si>
  <si>
    <t>CA-2023-10035</t>
  </si>
  <si>
    <t>2023-11-02</t>
  </si>
  <si>
    <t>2023-11-07</t>
  </si>
  <si>
    <t>CG-535</t>
  </si>
  <si>
    <t>FUR-FUR-309</t>
  </si>
  <si>
    <t>CA-2023-10036</t>
  </si>
  <si>
    <t>2023-07-21</t>
  </si>
  <si>
    <t>CG-536</t>
  </si>
  <si>
    <t>TEC-ACC-276</t>
  </si>
  <si>
    <t>CA-2023-10037</t>
  </si>
  <si>
    <t>2023-08-14</t>
  </si>
  <si>
    <t>CG-537</t>
  </si>
  <si>
    <t>FUR-CHA-812</t>
  </si>
  <si>
    <t>CA-2023-10038</t>
  </si>
  <si>
    <t>2023-10-20</t>
  </si>
  <si>
    <t>2023-10-24</t>
  </si>
  <si>
    <t>CG-538</t>
  </si>
  <si>
    <t>OFF-ART-328</t>
  </si>
  <si>
    <t>Art</t>
  </si>
  <si>
    <t>CA-2023-10039</t>
  </si>
  <si>
    <t>2023-04-14</t>
  </si>
  <si>
    <t>2023-04-17</t>
  </si>
  <si>
    <t>CG-539</t>
  </si>
  <si>
    <t>OFF-PAP-287</t>
  </si>
  <si>
    <t>CA-2023-10040</t>
  </si>
  <si>
    <t>2023-10-23</t>
  </si>
  <si>
    <t>CG-540</t>
  </si>
  <si>
    <t>TEC-COP-415</t>
  </si>
  <si>
    <t>CA-2023-10041</t>
  </si>
  <si>
    <t>2023-06-19</t>
  </si>
  <si>
    <t>2023-06-22</t>
  </si>
  <si>
    <t>CG-541</t>
  </si>
  <si>
    <t>OFF-SUP-379</t>
  </si>
  <si>
    <t>CA-2023-10042</t>
  </si>
  <si>
    <t>2023-01-18</t>
  </si>
  <si>
    <t>2023-01-24</t>
  </si>
  <si>
    <t>CG-542</t>
  </si>
  <si>
    <t>OFF-ENV-876</t>
  </si>
  <si>
    <t>CA-2023-10043</t>
  </si>
  <si>
    <t>2023-06-21</t>
  </si>
  <si>
    <t>2023-06-26</t>
  </si>
  <si>
    <t>CG-543</t>
  </si>
  <si>
    <t>OFF-SUP-580</t>
  </si>
  <si>
    <t>CA-2023-10044</t>
  </si>
  <si>
    <t>2023-09-08</t>
  </si>
  <si>
    <t>2023-09-11</t>
  </si>
  <si>
    <t>CG-544</t>
  </si>
  <si>
    <t>TEC-MAC-935</t>
  </si>
  <si>
    <t>CA-2023-10045</t>
  </si>
  <si>
    <t>2023-06-24</t>
  </si>
  <si>
    <t>CG-545</t>
  </si>
  <si>
    <t>FUR-FUR-457</t>
  </si>
  <si>
    <t>CA-2023-10046</t>
  </si>
  <si>
    <t>2023-12-06</t>
  </si>
  <si>
    <t>2023-12-12</t>
  </si>
  <si>
    <t>CG-546</t>
  </si>
  <si>
    <t>TEC-MAC-186</t>
  </si>
  <si>
    <t>CA-2023-10047</t>
  </si>
  <si>
    <t>CG-547</t>
  </si>
  <si>
    <t>FUR-CHA-519</t>
  </si>
  <si>
    <t>CA-2023-10048</t>
  </si>
  <si>
    <t>2023-12-04</t>
  </si>
  <si>
    <t>CG-548</t>
  </si>
  <si>
    <t>TEC-COP-785</t>
  </si>
  <si>
    <t>CA-2023-10049</t>
  </si>
  <si>
    <t>2023-01-29</t>
  </si>
  <si>
    <t>CG-549</t>
  </si>
  <si>
    <t>OFF-APP-594</t>
  </si>
  <si>
    <t>CA-2023-10050</t>
  </si>
  <si>
    <t>2023-11-27</t>
  </si>
  <si>
    <t>CG-550</t>
  </si>
  <si>
    <t>FUR-TAB-885</t>
  </si>
  <si>
    <t>CA-2023-10051</t>
  </si>
  <si>
    <t>2023-11-12</t>
  </si>
  <si>
    <t>CG-551</t>
  </si>
  <si>
    <t>TEC-COP-828</t>
  </si>
  <si>
    <t>CA-2023-10052</t>
  </si>
  <si>
    <t>2023-11-14</t>
  </si>
  <si>
    <t>2023-11-19</t>
  </si>
  <si>
    <t>CG-552</t>
  </si>
  <si>
    <t>FUR-FUR-765</t>
  </si>
  <si>
    <t>CA-2023-10053</t>
  </si>
  <si>
    <t>2023-02-27</t>
  </si>
  <si>
    <t>2023-03-04</t>
  </si>
  <si>
    <t>CG-553</t>
  </si>
  <si>
    <t>FUR-FUR-428</t>
  </si>
  <si>
    <t>CA-2023-10054</t>
  </si>
  <si>
    <t>2023-05-09</t>
  </si>
  <si>
    <t>2023-05-11</t>
  </si>
  <si>
    <t>CG-554</t>
  </si>
  <si>
    <t>OFF-FAS-435</t>
  </si>
  <si>
    <t>Fasteners</t>
  </si>
  <si>
    <t>CA-2023-10055</t>
  </si>
  <si>
    <t>2023-07-01</t>
  </si>
  <si>
    <t>CG-555</t>
  </si>
  <si>
    <t>OFF-APP-710</t>
  </si>
  <si>
    <t>CA-2023-10056</t>
  </si>
  <si>
    <t>2023-04-29</t>
  </si>
  <si>
    <t>2023-05-01</t>
  </si>
  <si>
    <t>CG-556</t>
  </si>
  <si>
    <t>FUR-TAB-357</t>
  </si>
  <si>
    <t>CA-2023-10057</t>
  </si>
  <si>
    <t>2023-07-07</t>
  </si>
  <si>
    <t>2023-07-10</t>
  </si>
  <si>
    <t>CG-557</t>
  </si>
  <si>
    <t>TEC-MAC-109</t>
  </si>
  <si>
    <t>CA-2023-10058</t>
  </si>
  <si>
    <t>2023-10-16</t>
  </si>
  <si>
    <t>CG-558</t>
  </si>
  <si>
    <t>FUR-FUR-686</t>
  </si>
  <si>
    <t>CA-2023-10059</t>
  </si>
  <si>
    <t>2023-01-09</t>
  </si>
  <si>
    <t>2023-01-13</t>
  </si>
  <si>
    <t>CG-559</t>
  </si>
  <si>
    <t>TEC-MAC-902</t>
  </si>
  <si>
    <t>CA-2023-10060</t>
  </si>
  <si>
    <t>2023-05-22</t>
  </si>
  <si>
    <t>CG-560</t>
  </si>
  <si>
    <t>OFF-FAS-789</t>
  </si>
  <si>
    <t>CA-2023-10061</t>
  </si>
  <si>
    <t>2023-09-18</t>
  </si>
  <si>
    <t>2023-09-23</t>
  </si>
  <si>
    <t>CG-561</t>
  </si>
  <si>
    <t>OFF-ENV-989</t>
  </si>
  <si>
    <t>CA-2023-10062</t>
  </si>
  <si>
    <t>2023-04-06</t>
  </si>
  <si>
    <t>CG-562</t>
  </si>
  <si>
    <t>TEC-MAC-864</t>
  </si>
  <si>
    <t>CA-2023-10063</t>
  </si>
  <si>
    <t>2023-03-02</t>
  </si>
  <si>
    <t>2023-03-08</t>
  </si>
  <si>
    <t>CG-563</t>
  </si>
  <si>
    <t>OFF-ENV-732</t>
  </si>
  <si>
    <t>CA-2023-10064</t>
  </si>
  <si>
    <t>2023-05-18</t>
  </si>
  <si>
    <t>CG-564</t>
  </si>
  <si>
    <t>FUR-TAB-645</t>
  </si>
  <si>
    <t>CA-2023-10065</t>
  </si>
  <si>
    <t>CG-565</t>
  </si>
  <si>
    <t>FUR-BOO-180</t>
  </si>
  <si>
    <t>Bookcases</t>
  </si>
  <si>
    <t>CA-2023-10066</t>
  </si>
  <si>
    <t>2023-04-24</t>
  </si>
  <si>
    <t>2023-04-28</t>
  </si>
  <si>
    <t>CG-566</t>
  </si>
  <si>
    <t>TEC-PHO-746</t>
  </si>
  <si>
    <t>CA-2023-10067</t>
  </si>
  <si>
    <t>2023-05-16</t>
  </si>
  <si>
    <t>CG-567</t>
  </si>
  <si>
    <t>FUR-CHA-605</t>
  </si>
  <si>
    <t>CA-2023-10068</t>
  </si>
  <si>
    <t>CG-568</t>
  </si>
  <si>
    <t>FUR-FUR-218</t>
  </si>
  <si>
    <t>CA-2023-10069</t>
  </si>
  <si>
    <t>2023-04-12</t>
  </si>
  <si>
    <t>2023-04-16</t>
  </si>
  <si>
    <t>CG-569</t>
  </si>
  <si>
    <t>TEC-MAC-326</t>
  </si>
  <si>
    <t>CA-2023-10070</t>
  </si>
  <si>
    <t>2023-07-08</t>
  </si>
  <si>
    <t>CG-570</t>
  </si>
  <si>
    <t>OFF-ART-744</t>
  </si>
  <si>
    <t>CA-2023-10071</t>
  </si>
  <si>
    <t>2023-09-30</t>
  </si>
  <si>
    <t>2023-10-05</t>
  </si>
  <si>
    <t>CG-571</t>
  </si>
  <si>
    <t>FUR-CHA-557</t>
  </si>
  <si>
    <t>CA-2023-10072</t>
  </si>
  <si>
    <t>2023-11-22</t>
  </si>
  <si>
    <t>CG-572</t>
  </si>
  <si>
    <t>TEC-ACC-332</t>
  </si>
  <si>
    <t>CA-2023-10073</t>
  </si>
  <si>
    <t>2023-09-10</t>
  </si>
  <si>
    <t>2023-09-16</t>
  </si>
  <si>
    <t>CG-573</t>
  </si>
  <si>
    <t>FUR-TAB-589</t>
  </si>
  <si>
    <t>CA-2023-10074</t>
  </si>
  <si>
    <t>2023-01-25</t>
  </si>
  <si>
    <t>CG-574</t>
  </si>
  <si>
    <t>OFF-BIN-198</t>
  </si>
  <si>
    <t>CA-2023-10075</t>
  </si>
  <si>
    <t>2023-04-23</t>
  </si>
  <si>
    <t>CG-575</t>
  </si>
  <si>
    <t>FUR-CHA-592</t>
  </si>
  <si>
    <t>CA-2023-10076</t>
  </si>
  <si>
    <t>2023-09-24</t>
  </si>
  <si>
    <t>CG-576</t>
  </si>
  <si>
    <t>FUR-BOO-863</t>
  </si>
  <si>
    <t>CA-2023-10077</t>
  </si>
  <si>
    <t>CG-577</t>
  </si>
  <si>
    <t>OFF-LAB-382</t>
  </si>
  <si>
    <t>CA-2023-10078</t>
  </si>
  <si>
    <t>2023-02-17</t>
  </si>
  <si>
    <t>2023-02-20</t>
  </si>
  <si>
    <t>CG-578</t>
  </si>
  <si>
    <t>TEC-COP-822</t>
  </si>
  <si>
    <t>CA-2023-10079</t>
  </si>
  <si>
    <t>2023-02-22</t>
  </si>
  <si>
    <t>CG-579</t>
  </si>
  <si>
    <t>TEC-COP-346</t>
  </si>
  <si>
    <t>CA-2023-10080</t>
  </si>
  <si>
    <t>2023-04-04</t>
  </si>
  <si>
    <t>2023-04-09</t>
  </si>
  <si>
    <t>CG-580</t>
  </si>
  <si>
    <t>OFF-ENV-854</t>
  </si>
  <si>
    <t>ORIGINAL UNCLEANED KAGGLE DATASET (100 RECORDS WITH DUPLICATE ORDERS)</t>
  </si>
  <si>
    <t>Raw dataset before applying Data -&gt; Remove Duplicates on Order ID (Task 1 Demo)</t>
  </si>
  <si>
    <t>OFF-FAS-795</t>
  </si>
  <si>
    <t>OFF-LAB-655</t>
  </si>
  <si>
    <t>FUR-BOO-700</t>
  </si>
  <si>
    <t>FUR-BOO-497</t>
  </si>
  <si>
    <t>FUR-BOO-772</t>
  </si>
  <si>
    <t>TEC-ACC-400</t>
  </si>
  <si>
    <t>TEC-ACC-733</t>
  </si>
  <si>
    <t>FUR-TAB-452</t>
  </si>
  <si>
    <t>FUR-CHA-927</t>
  </si>
  <si>
    <t>FUR-BOO-775</t>
  </si>
  <si>
    <t>TEC-ACC-428</t>
  </si>
  <si>
    <t>TEC-PHO-258</t>
  </si>
  <si>
    <t>OFF-PAP-592</t>
  </si>
  <si>
    <t>FUR-CHA-459</t>
  </si>
  <si>
    <t>OFF-ENV-561</t>
  </si>
  <si>
    <t>TEC-MAC-659</t>
  </si>
  <si>
    <t>FUR-CHA-362</t>
  </si>
  <si>
    <t>OFF-BIN-544</t>
  </si>
  <si>
    <t>TEC-COP-151</t>
  </si>
  <si>
    <t>TEC-PHO-191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</si>
</sst>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FFFFFF"/>
      <name val="Calibri"/>
      <family val="2"/>
    </font>
    <font>
      <b/>
      <sz val="9"/>
      <color rgb="FF595959"/>
      <name val="Calibri"/>
      <family val="2"/>
    </font>
    <font>
      <b/>
      <sz val="15"/>
      <color rgb="FF1F4E78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B25900"/>
      <name val="Calibri"/>
      <family val="2"/>
    </font>
    <font>
      <i/>
      <sz val="10"/>
      <color rgb="FF595959"/>
      <name val="Calibri"/>
      <family val="2"/>
    </font>
    <font>
      <b/>
      <sz val="11"/>
      <color rgb="FFC00000"/>
      <name val="Calibri"/>
      <family val="2"/>
    </font>
    <font>
      <b/>
      <sz val="10"/>
      <color rgb="FFC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9F9F9"/>
        <bgColor rgb="FFF9F9F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center"/>
    </xf>
    <xf numFmtId="0" fontId="7" fillId="4" borderId="1" xfId="0" applyFont="1" applyFill="1" applyBorder="1"/>
    <xf numFmtId="164" fontId="7" fillId="4" borderId="1" xfId="0" applyNumberFormat="1" applyFont="1" applyFill="1" applyBorder="1" applyAlignment="1">
      <alignment horizontal="right"/>
    </xf>
    <xf numFmtId="165" fontId="7" fillId="4" borderId="1" xfId="0" applyNumberFormat="1" applyFont="1" applyFill="1" applyBorder="1" applyAlignment="1">
      <alignment horizontal="center"/>
    </xf>
    <xf numFmtId="0" fontId="7" fillId="0" borderId="0" xfId="0" applyFont="1"/>
    <xf numFmtId="164" fontId="7" fillId="6" borderId="1" xfId="0" applyNumberFormat="1" applyFont="1" applyFill="1" applyBorder="1" applyAlignment="1">
      <alignment horizontal="right"/>
    </xf>
    <xf numFmtId="0" fontId="9" fillId="6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4" borderId="1" xfId="0" applyFill="1" applyBorder="1"/>
    <xf numFmtId="0" fontId="10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right"/>
    </xf>
    <xf numFmtId="164" fontId="7" fillId="7" borderId="1" xfId="0" applyNumberFormat="1" applyFont="1" applyFill="1" applyBorder="1" applyAlignment="1">
      <alignment horizontal="right"/>
    </xf>
    <xf numFmtId="0" fontId="8" fillId="0" borderId="1" xfId="0" applyFont="1" applyBorder="1"/>
    <xf numFmtId="0" fontId="10" fillId="0" borderId="1" xfId="0" applyFont="1" applyBorder="1" applyAlignment="1">
      <alignment horizontal="center"/>
    </xf>
    <xf numFmtId="165" fontId="11" fillId="8" borderId="1" xfId="0" applyNumberFormat="1" applyFont="1" applyFill="1" applyBorder="1" applyAlignment="1">
      <alignment horizontal="center"/>
    </xf>
    <xf numFmtId="164" fontId="11" fillId="8" borderId="1" xfId="0" applyNumberFormat="1" applyFont="1" applyFill="1" applyBorder="1" applyAlignment="1">
      <alignment horizontal="right"/>
    </xf>
    <xf numFmtId="0" fontId="12" fillId="8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5" fontId="4" fillId="4" borderId="0" xfId="0" applyNumberFormat="1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0" borderId="0" xfId="0" applyFont="1"/>
    <xf numFmtId="0" fontId="8" fillId="5" borderId="1" xfId="0" applyFont="1" applyFill="1" applyBorder="1" applyAlignment="1">
      <alignment vertical="top" wrapText="1"/>
    </xf>
    <xf numFmtId="0" fontId="0" fillId="0" borderId="1" xfId="0" applyBorder="1"/>
    <xf numFmtId="0" fontId="8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Sales by Product Category ($)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'Retail Sales Dashboard'!$B$8</c:f>
              <c:strCache>
                <c:ptCount val="1"/>
                <c:pt idx="0">
                  <c:v>Sales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'Retail Sales Dashboard'!$A$9:$A$11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'Retail Sales Dashboard'!$B$9:$B$11</c:f>
              <c:numCache>
                <c:formatCode>\$#,##0.00</c:formatCode>
                <c:ptCount val="3"/>
                <c:pt idx="0">
                  <c:v>20660.620000000003</c:v>
                </c:pt>
                <c:pt idx="1">
                  <c:v>5830.5099999999993</c:v>
                </c:pt>
                <c:pt idx="2">
                  <c:v>6821.7599999999984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C-458C-8A82-4BE05F05F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Comparison: Sales vs Profit ($)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63741830065357"/>
          <c:y val="0.11184696969696971"/>
          <c:w val="0.86128741830065358"/>
          <c:h val="0.8169616161616161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'Task 2 - Regional Pivot'!$B$5</c:f>
              <c:strCache>
                <c:ptCount val="1"/>
                <c:pt idx="0">
                  <c:v>Total Sales ($)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shade val="76000"/>
                </a:schemeClr>
              </a:solidFill>
              <a:miter lim="800000"/>
            </a:ln>
            <a:effectLst>
              <a:glow rad="63500">
                <a:schemeClr val="accent2">
                  <a:shade val="76000"/>
                  <a:satMod val="175000"/>
                  <a:alpha val="25000"/>
                </a:schemeClr>
              </a:glo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2 - Regional Pivot'!$A$6:$A$9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'Task 2 - Regional Pivot'!$B$6:$B$9</c:f>
              <c:numCache>
                <c:formatCode>\$#,##0.00</c:formatCode>
                <c:ptCount val="4"/>
                <c:pt idx="0">
                  <c:v>7879.5599999999995</c:v>
                </c:pt>
                <c:pt idx="1">
                  <c:v>8592.380000000001</c:v>
                </c:pt>
                <c:pt idx="2">
                  <c:v>7074.68</c:v>
                </c:pt>
                <c:pt idx="3">
                  <c:v>9766.27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8-42BD-83E1-945A268AFA7B}"/>
            </c:ext>
          </c:extLst>
        </c:ser>
        <c:ser>
          <c:idx val="1"/>
          <c:order val="1"/>
          <c:tx>
            <c:strRef>
              <c:f>'Task 2 - Regional Pivot'!$C$5</c:f>
              <c:strCache>
                <c:ptCount val="1"/>
                <c:pt idx="0">
                  <c:v>Total Profit ($)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tint val="77000"/>
                </a:schemeClr>
              </a:solidFill>
              <a:miter lim="800000"/>
            </a:ln>
            <a:effectLst>
              <a:glow rad="63500">
                <a:schemeClr val="accent2">
                  <a:tint val="77000"/>
                  <a:satMod val="175000"/>
                  <a:alpha val="25000"/>
                </a:schemeClr>
              </a:glo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2 - Regional Pivot'!$A$6:$A$9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'Task 2 - Regional Pivot'!$C$6:$C$9</c:f>
              <c:numCache>
                <c:formatCode>\$#,##0.00</c:formatCode>
                <c:ptCount val="4"/>
                <c:pt idx="0">
                  <c:v>630.66999999999996</c:v>
                </c:pt>
                <c:pt idx="1">
                  <c:v>209.50000000000014</c:v>
                </c:pt>
                <c:pt idx="2">
                  <c:v>964.69</c:v>
                </c:pt>
                <c:pt idx="3">
                  <c:v>1168.3100000000004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A8-42BD-83E1-945A268AFA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Most Profitable Sub-Categories ($)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'Task 5 - Top 5 Sub-Categories'!$E$5</c:f>
              <c:strCache>
                <c:ptCount val="1"/>
                <c:pt idx="0">
                  <c:v>Total Profit ($)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shade val="50000"/>
                  </a:schemeClr>
                </a:solidFill>
                <a:miter lim="800000"/>
              </a:ln>
              <a:effectLst>
                <a:glow rad="63500">
                  <a:schemeClr val="accent3">
                    <a:shade val="50000"/>
                    <a:satMod val="175000"/>
                    <a:alpha val="25000"/>
                  </a:schemeClr>
                </a:glow>
              </a:effectLst>
            </c:spPr>
          </c:dPt>
          <c:dPt>
            <c:idx val="1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shade val="70000"/>
                  </a:schemeClr>
                </a:solidFill>
                <a:miter lim="800000"/>
              </a:ln>
              <a:effectLst>
                <a:glow rad="63500">
                  <a:schemeClr val="accent3">
                    <a:shade val="70000"/>
                    <a:satMod val="175000"/>
                    <a:alpha val="25000"/>
                  </a:schemeClr>
                </a:glow>
              </a:effectLst>
            </c:spPr>
          </c:dPt>
          <c:dPt>
            <c:idx val="2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shade val="90000"/>
                  </a:schemeClr>
                </a:solidFill>
                <a:miter lim="800000"/>
              </a:ln>
              <a:effectLst>
                <a:glow rad="63500">
                  <a:schemeClr val="accent3">
                    <a:shade val="90000"/>
                    <a:satMod val="175000"/>
                    <a:alpha val="25000"/>
                  </a:schemeClr>
                </a:glow>
              </a:effectLst>
            </c:spPr>
          </c:dPt>
          <c:dPt>
            <c:idx val="3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tint val="90000"/>
                  </a:schemeClr>
                </a:solidFill>
                <a:miter lim="800000"/>
              </a:ln>
              <a:effectLst>
                <a:glow rad="63500">
                  <a:schemeClr val="accent3">
                    <a:tint val="90000"/>
                    <a:satMod val="175000"/>
                    <a:alpha val="25000"/>
                  </a:schemeClr>
                </a:glow>
              </a:effectLst>
            </c:spPr>
          </c:dPt>
          <c:dPt>
            <c:idx val="4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tint val="70000"/>
                  </a:schemeClr>
                </a:solidFill>
                <a:miter lim="800000"/>
              </a:ln>
              <a:effectLst>
                <a:glow rad="63500">
                  <a:schemeClr val="accent3">
                    <a:tint val="70000"/>
                    <a:satMod val="175000"/>
                    <a:alpha val="25000"/>
                  </a:schemeClr>
                </a:glow>
              </a:effectLst>
            </c:spPr>
          </c:dPt>
          <c:dPt>
            <c:idx val="5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tint val="50000"/>
                  </a:schemeClr>
                </a:solidFill>
                <a:miter lim="800000"/>
              </a:ln>
              <a:effectLst>
                <a:glow rad="63500">
                  <a:schemeClr val="accent3">
                    <a:tint val="50000"/>
                    <a:satMod val="175000"/>
                    <a:alpha val="25000"/>
                  </a:schemeClr>
                </a:glow>
              </a:effectLst>
            </c:spPr>
          </c:dPt>
          <c:cat>
            <c:strRef>
              <c:f>'Task 5 - Top 5 Sub-Categories'!$B$6:$B$11</c:f>
              <c:strCache>
                <c:ptCount val="5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</c:strCache>
            </c:strRef>
          </c:cat>
          <c:val>
            <c:numRef>
              <c:f>'Task 5 - Top 5 Sub-Categories'!$E$6:$E$11</c:f>
              <c:numCache>
                <c:formatCode>\$#,##0.00</c:formatCode>
                <c:ptCount val="6"/>
                <c:pt idx="0">
                  <c:v>1819.16</c:v>
                </c:pt>
                <c:pt idx="1">
                  <c:v>1766.01</c:v>
                </c:pt>
                <c:pt idx="2">
                  <c:v>97.91</c:v>
                </c:pt>
                <c:pt idx="3">
                  <c:v>249.50000000000006</c:v>
                </c:pt>
                <c:pt idx="4">
                  <c:v>30.92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C-441F-B75F-C637B3439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0"/>
        <c:axId val="100"/>
      </c:barChart>
      <c:catAx>
        <c:axId val="1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Profit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Sub-Category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61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61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opLeftCell="A3" workbookViewId="0">
      <selection activeCell="A19" sqref="A19"/>
    </sheetView>
  </sheetViews>
  <sheetFormatPr defaultRowHeight="14.5" x14ac:dyDescent="0.35"/>
  <cols>
    <col min="1" max="1" width="18" customWidth="1"/>
    <col min="2" max="3" width="16" customWidth="1"/>
    <col min="4" max="4" width="14" customWidth="1"/>
    <col min="5" max="6" width="13" customWidth="1"/>
    <col min="7" max="7" width="44" customWidth="1"/>
    <col min="8" max="9" width="13" customWidth="1"/>
    <col min="10" max="10" width="27" customWidth="1"/>
    <col min="11" max="12" width="13" customWidth="1"/>
  </cols>
  <sheetData>
    <row r="1" spans="1:12" ht="34" customHeight="1" x14ac:dyDescent="0.35">
      <c r="A1" s="31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0" customHeight="1" x14ac:dyDescent="0.3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1:12" ht="18" customHeight="1" x14ac:dyDescent="0.35">
      <c r="A4" s="32" t="s">
        <v>2</v>
      </c>
      <c r="B4" s="27"/>
      <c r="C4" s="27"/>
      <c r="D4" s="32" t="s">
        <v>3</v>
      </c>
      <c r="E4" s="27"/>
      <c r="F4" s="27"/>
      <c r="G4" s="32" t="s">
        <v>4</v>
      </c>
      <c r="H4" s="27"/>
      <c r="I4" s="27"/>
      <c r="J4" s="32" t="s">
        <v>5</v>
      </c>
      <c r="K4" s="27"/>
      <c r="L4" s="27"/>
    </row>
    <row r="5" spans="1:12" ht="26" customHeight="1" x14ac:dyDescent="0.35">
      <c r="A5" s="29">
        <f>SUM('Cleaned Superstore Data'!N5:N84)</f>
        <v>33312.890000000007</v>
      </c>
      <c r="B5" s="27"/>
      <c r="C5" s="27"/>
      <c r="D5" s="29">
        <f>SUM('Cleaned Superstore Data'!Q5:Q84)</f>
        <v>2973.1699999999996</v>
      </c>
      <c r="E5" s="27"/>
      <c r="F5" s="27"/>
      <c r="G5" s="30">
        <f>COUNTA('Cleaned Superstore Data'!A5:A84)</f>
        <v>80</v>
      </c>
      <c r="H5" s="27"/>
      <c r="I5" s="27"/>
      <c r="J5" s="26" t="e">
        <f>F5/C5</f>
        <v>#DIV/0!</v>
      </c>
      <c r="K5" s="27"/>
      <c r="L5" s="27"/>
    </row>
    <row r="7" spans="1:12" ht="17" x14ac:dyDescent="0.4">
      <c r="A7" s="33" t="s">
        <v>6</v>
      </c>
      <c r="B7" s="27"/>
      <c r="C7" s="27"/>
      <c r="D7" s="27"/>
    </row>
    <row r="8" spans="1:12" x14ac:dyDescent="0.35">
      <c r="A8" s="2" t="s">
        <v>7</v>
      </c>
      <c r="B8" s="2" t="s">
        <v>8</v>
      </c>
      <c r="C8" s="2" t="s">
        <v>9</v>
      </c>
      <c r="D8" s="2" t="s">
        <v>10</v>
      </c>
    </row>
    <row r="9" spans="1:12" x14ac:dyDescent="0.35">
      <c r="A9" s="3" t="s">
        <v>11</v>
      </c>
      <c r="B9" s="4">
        <f>SUMIF('Cleaned Superstore Data'!$L$5:$L$84, A9, 'Cleaned Superstore Data'!$N$5:$N$84)</f>
        <v>20660.620000000003</v>
      </c>
      <c r="C9" s="4">
        <f>SUMIF('Cleaned Superstore Data'!$L$5:$L$84, A9, 'Cleaned Superstore Data'!$Q$5:$Q$84)</f>
        <v>2078.5100000000002</v>
      </c>
      <c r="D9" s="5">
        <f>C9/B9</f>
        <v>0.10060249886015037</v>
      </c>
    </row>
    <row r="10" spans="1:12" x14ac:dyDescent="0.35">
      <c r="A10" s="3" t="s">
        <v>12</v>
      </c>
      <c r="B10" s="4">
        <f>SUMIF('Cleaned Superstore Data'!$L$5:$L$84, A10, 'Cleaned Superstore Data'!$N$5:$N$84)</f>
        <v>5830.5099999999993</v>
      </c>
      <c r="C10" s="4">
        <f>SUMIF('Cleaned Superstore Data'!$L$5:$L$84, A10, 'Cleaned Superstore Data'!$Q$5:$Q$84)</f>
        <v>1008.0400000000001</v>
      </c>
      <c r="D10" s="5">
        <f>C10/B10</f>
        <v>0.17289053616235975</v>
      </c>
    </row>
    <row r="11" spans="1:12" x14ac:dyDescent="0.35">
      <c r="A11" s="3" t="s">
        <v>13</v>
      </c>
      <c r="B11" s="4">
        <f>SUMIF('Cleaned Superstore Data'!$L$5:$L$84, A11, 'Cleaned Superstore Data'!$N$5:$N$84)</f>
        <v>6821.7599999999984</v>
      </c>
      <c r="C11" s="4">
        <f>SUMIF('Cleaned Superstore Data'!$L$5:$L$84, A11, 'Cleaned Superstore Data'!$Q$5:$Q$84)</f>
        <v>-113.37999999999997</v>
      </c>
      <c r="D11" s="5">
        <f>C11/B11</f>
        <v>-1.6620344309972793E-2</v>
      </c>
    </row>
    <row r="12" spans="1:12" x14ac:dyDescent="0.35">
      <c r="A12" s="6" t="s">
        <v>14</v>
      </c>
      <c r="B12" s="7">
        <f>SUM(B9:B11)</f>
        <v>33312.89</v>
      </c>
      <c r="C12" s="7">
        <f>SUM(C9:C11)</f>
        <v>2973.17</v>
      </c>
      <c r="D12" s="8">
        <f>C12/B12</f>
        <v>8.9249836924986101E-2</v>
      </c>
    </row>
    <row r="19" spans="1:12" x14ac:dyDescent="0.35">
      <c r="A19" s="9"/>
    </row>
    <row r="20" spans="1:12" x14ac:dyDescent="0.35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1:12" x14ac:dyDescent="0.3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x14ac:dyDescent="0.3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</row>
    <row r="23" spans="1:12" x14ac:dyDescent="0.3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</row>
    <row r="24" spans="1:12" x14ac:dyDescent="0.3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</row>
    <row r="25" spans="1:12" x14ac:dyDescent="0.3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</row>
  </sheetData>
  <mergeCells count="12">
    <mergeCell ref="A20:L25"/>
    <mergeCell ref="A1:L1"/>
    <mergeCell ref="D4:F4"/>
    <mergeCell ref="A7:D7"/>
    <mergeCell ref="G4:I4"/>
    <mergeCell ref="J4:L4"/>
    <mergeCell ref="A4:C4"/>
    <mergeCell ref="J5:L5"/>
    <mergeCell ref="A2:L2"/>
    <mergeCell ref="D5:F5"/>
    <mergeCell ref="A5:C5"/>
    <mergeCell ref="G5:I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B18" sqref="B18"/>
    </sheetView>
  </sheetViews>
  <sheetFormatPr defaultRowHeight="14.5" x14ac:dyDescent="0.35"/>
  <cols>
    <col min="1" max="1" width="91" customWidth="1"/>
    <col min="2" max="3" width="89" customWidth="1"/>
    <col min="4" max="4" width="18" customWidth="1"/>
    <col min="5" max="5" width="38" customWidth="1"/>
    <col min="6" max="7" width="13" customWidth="1"/>
    <col min="8" max="8" width="143" customWidth="1"/>
  </cols>
  <sheetData>
    <row r="1" spans="1:8" ht="34" customHeight="1" x14ac:dyDescent="0.35">
      <c r="A1" s="31" t="s">
        <v>15</v>
      </c>
      <c r="B1" s="27"/>
      <c r="C1" s="27"/>
      <c r="D1" s="27"/>
      <c r="E1" s="27"/>
      <c r="F1" s="27"/>
      <c r="G1" s="27"/>
      <c r="H1" s="27"/>
    </row>
    <row r="2" spans="1:8" ht="20" customHeight="1" x14ac:dyDescent="0.35">
      <c r="A2" s="28" t="s">
        <v>16</v>
      </c>
      <c r="B2" s="27"/>
      <c r="C2" s="27"/>
      <c r="D2" s="27"/>
      <c r="E2" s="27"/>
      <c r="F2" s="27"/>
      <c r="G2" s="27"/>
      <c r="H2" s="27"/>
    </row>
    <row r="4" spans="1:8" ht="17" x14ac:dyDescent="0.4">
      <c r="A4" s="1" t="s">
        <v>17</v>
      </c>
    </row>
    <row r="5" spans="1:8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spans="1:8" x14ac:dyDescent="0.35">
      <c r="A6" s="3" t="s">
        <v>23</v>
      </c>
      <c r="B6" s="4">
        <f>SUMIF('Cleaned Superstore Data'!$J$5:$J$84, A6, 'Cleaned Superstore Data'!$N$5:$N$84)</f>
        <v>7879.5599999999995</v>
      </c>
      <c r="C6" s="10">
        <f>SUMIF('Cleaned Superstore Data'!$J$5:$J$84, A6, 'Cleaned Superstore Data'!$Q$5:$Q$84)</f>
        <v>630.66999999999996</v>
      </c>
      <c r="D6" s="5">
        <f>C6/B6</f>
        <v>8.0038733127230449E-2</v>
      </c>
      <c r="E6" s="11" t="s">
        <v>24</v>
      </c>
    </row>
    <row r="7" spans="1:8" x14ac:dyDescent="0.35">
      <c r="A7" s="3" t="s">
        <v>25</v>
      </c>
      <c r="B7" s="4">
        <f>SUMIF('Cleaned Superstore Data'!$J$5:$J$84, A7, 'Cleaned Superstore Data'!$N$5:$N$84)</f>
        <v>8592.380000000001</v>
      </c>
      <c r="C7" s="4">
        <f>SUMIF('Cleaned Superstore Data'!$J$5:$J$84, A7, 'Cleaned Superstore Data'!$Q$5:$Q$84)</f>
        <v>209.50000000000014</v>
      </c>
      <c r="D7" s="5">
        <f>C7/B7</f>
        <v>2.4382068763253037E-2</v>
      </c>
      <c r="E7" s="12" t="s">
        <v>26</v>
      </c>
    </row>
    <row r="8" spans="1:8" x14ac:dyDescent="0.35">
      <c r="A8" s="3" t="s">
        <v>27</v>
      </c>
      <c r="B8" s="4">
        <f>SUMIF('Cleaned Superstore Data'!$J$5:$J$84, A8, 'Cleaned Superstore Data'!$N$5:$N$84)</f>
        <v>7074.68</v>
      </c>
      <c r="C8" s="4">
        <f>SUMIF('Cleaned Superstore Data'!$J$5:$J$84, A8, 'Cleaned Superstore Data'!$Q$5:$Q$84)</f>
        <v>964.69</v>
      </c>
      <c r="D8" s="5">
        <f>C8/B8</f>
        <v>0.13635811089688862</v>
      </c>
      <c r="E8" s="13" t="s">
        <v>28</v>
      </c>
    </row>
    <row r="9" spans="1:8" x14ac:dyDescent="0.35">
      <c r="A9" s="3" t="s">
        <v>29</v>
      </c>
      <c r="B9" s="4">
        <f>SUMIF('Cleaned Superstore Data'!$J$5:$J$84, A9, 'Cleaned Superstore Data'!$N$5:$N$84)</f>
        <v>9766.27</v>
      </c>
      <c r="C9" s="4">
        <f>SUMIF('Cleaned Superstore Data'!$J$5:$J$84, A9, 'Cleaned Superstore Data'!$Q$5:$Q$84)</f>
        <v>1168.3100000000004</v>
      </c>
      <c r="D9" s="5">
        <f>C9/B9</f>
        <v>0.11962704287307235</v>
      </c>
      <c r="E9" s="13" t="s">
        <v>28</v>
      </c>
    </row>
    <row r="10" spans="1:8" x14ac:dyDescent="0.35">
      <c r="A10" s="6" t="s">
        <v>14</v>
      </c>
      <c r="B10" s="7">
        <f>SUM(B6:B9)</f>
        <v>33312.89</v>
      </c>
      <c r="C10" s="7">
        <f>SUM(C6:C9)</f>
        <v>2973.1700000000005</v>
      </c>
      <c r="D10" s="8">
        <f>C10/B10</f>
        <v>8.9249836924986115E-2</v>
      </c>
      <c r="E10" s="14"/>
    </row>
    <row r="12" spans="1:8" x14ac:dyDescent="0.35">
      <c r="H12" s="9" t="s">
        <v>30</v>
      </c>
    </row>
    <row r="13" spans="1:8" x14ac:dyDescent="0.35">
      <c r="H13" s="15" t="s">
        <v>31</v>
      </c>
    </row>
    <row r="14" spans="1:8" x14ac:dyDescent="0.35">
      <c r="H14" s="15" t="s">
        <v>32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B39" sqref="B39"/>
    </sheetView>
  </sheetViews>
  <sheetFormatPr defaultRowHeight="14.5" x14ac:dyDescent="0.35"/>
  <cols>
    <col min="1" max="1" width="76" customWidth="1"/>
    <col min="2" max="2" width="15" customWidth="1"/>
    <col min="3" max="3" width="18" customWidth="1"/>
    <col min="4" max="5" width="90" customWidth="1"/>
    <col min="6" max="6" width="18" customWidth="1"/>
    <col min="7" max="7" width="13" customWidth="1"/>
    <col min="8" max="8" width="612" customWidth="1"/>
    <col min="9" max="14" width="13" customWidth="1"/>
  </cols>
  <sheetData>
    <row r="1" spans="1:14" ht="34" customHeight="1" x14ac:dyDescent="0.35">
      <c r="A1" s="31" t="s">
        <v>33</v>
      </c>
      <c r="B1" s="27"/>
      <c r="C1" s="27"/>
      <c r="D1" s="27"/>
      <c r="E1" s="27"/>
      <c r="F1" s="27"/>
      <c r="G1" s="27"/>
      <c r="H1" s="27"/>
    </row>
    <row r="2" spans="1:14" ht="20" customHeight="1" x14ac:dyDescent="0.35">
      <c r="A2" s="28" t="s">
        <v>34</v>
      </c>
      <c r="B2" s="27"/>
      <c r="C2" s="27"/>
      <c r="D2" s="27"/>
      <c r="E2" s="27"/>
      <c r="F2" s="27"/>
      <c r="G2" s="27"/>
      <c r="H2" s="27"/>
    </row>
    <row r="4" spans="1:14" ht="17" x14ac:dyDescent="0.4">
      <c r="A4" s="1" t="s">
        <v>35</v>
      </c>
    </row>
    <row r="5" spans="1:14" x14ac:dyDescent="0.35">
      <c r="A5" s="2" t="s">
        <v>36</v>
      </c>
      <c r="B5" s="2" t="s">
        <v>37</v>
      </c>
      <c r="C5" s="2" t="s">
        <v>7</v>
      </c>
      <c r="D5" s="2" t="s">
        <v>19</v>
      </c>
      <c r="E5" s="2" t="s">
        <v>20</v>
      </c>
      <c r="F5" s="2" t="s">
        <v>21</v>
      </c>
    </row>
    <row r="6" spans="1:14" x14ac:dyDescent="0.35">
      <c r="A6" s="16" t="s">
        <v>38</v>
      </c>
      <c r="B6" s="3" t="s">
        <v>39</v>
      </c>
      <c r="C6" s="17" t="s">
        <v>11</v>
      </c>
      <c r="D6" s="18">
        <f>SUMIF('Cleaned Superstore Data'!$M$5:$M$84, B6, 'Cleaned Superstore Data'!$N$5:$N$84)</f>
        <v>6861.4500000000007</v>
      </c>
      <c r="E6" s="19">
        <f>SUMIF('Cleaned Superstore Data'!$M$5:$M$84, B6, 'Cleaned Superstore Data'!$Q$5:$Q$84)</f>
        <v>1819.16</v>
      </c>
      <c r="F6" s="5">
        <f>E6/D6</f>
        <v>0.26512763337195488</v>
      </c>
    </row>
    <row r="7" spans="1:14" x14ac:dyDescent="0.35">
      <c r="A7" s="16" t="s">
        <v>40</v>
      </c>
      <c r="B7" s="3" t="s">
        <v>41</v>
      </c>
      <c r="C7" s="17" t="s">
        <v>11</v>
      </c>
      <c r="D7" s="18">
        <f>SUMIF('Cleaned Superstore Data'!$M$5:$M$84, B7, 'Cleaned Superstore Data'!$N$5:$N$84)</f>
        <v>6294.8000000000011</v>
      </c>
      <c r="E7" s="19">
        <f>SUMIF('Cleaned Superstore Data'!$M$5:$M$84, B7, 'Cleaned Superstore Data'!$Q$5:$Q$84)</f>
        <v>1766.01</v>
      </c>
      <c r="F7" s="5">
        <f>E7/D7</f>
        <v>0.28055061320454971</v>
      </c>
    </row>
    <row r="8" spans="1:14" x14ac:dyDescent="0.35">
      <c r="A8" s="16" t="s">
        <v>42</v>
      </c>
      <c r="B8" s="3" t="s">
        <v>43</v>
      </c>
      <c r="C8" s="17" t="s">
        <v>11</v>
      </c>
      <c r="D8" s="18">
        <f>SUMIF('Cleaned Superstore Data'!$M$5:$M$84, B8, 'Cleaned Superstore Data'!$N$5:$N$84)</f>
        <v>771.13</v>
      </c>
      <c r="E8" s="19">
        <f>SUMIF('Cleaned Superstore Data'!$M$5:$M$84, B8, 'Cleaned Superstore Data'!$Q$5:$Q$84)</f>
        <v>97.91</v>
      </c>
      <c r="F8" s="5">
        <f>E8/D8</f>
        <v>0.12696951227419501</v>
      </c>
    </row>
    <row r="9" spans="1:14" x14ac:dyDescent="0.35">
      <c r="A9" s="16" t="s">
        <v>44</v>
      </c>
      <c r="B9" s="3" t="s">
        <v>45</v>
      </c>
      <c r="C9" s="17" t="s">
        <v>12</v>
      </c>
      <c r="D9" s="18">
        <f>SUMIF('Cleaned Superstore Data'!$M$5:$M$84, B9, 'Cleaned Superstore Data'!$N$5:$N$84)</f>
        <v>1280.3</v>
      </c>
      <c r="E9" s="19">
        <f>SUMIF('Cleaned Superstore Data'!$M$5:$M$84, B9, 'Cleaned Superstore Data'!$Q$5:$Q$84)</f>
        <v>249.50000000000006</v>
      </c>
      <c r="F9" s="5">
        <f>E9/D9</f>
        <v>0.19487620089041635</v>
      </c>
    </row>
    <row r="10" spans="1:14" x14ac:dyDescent="0.35">
      <c r="A10" s="16" t="s">
        <v>46</v>
      </c>
      <c r="B10" s="3" t="s">
        <v>47</v>
      </c>
      <c r="C10" s="17" t="s">
        <v>12</v>
      </c>
      <c r="D10" s="18">
        <f>SUMIF('Cleaned Superstore Data'!$M$5:$M$84, B10, 'Cleaned Superstore Data'!$N$5:$N$84)</f>
        <v>574.17999999999995</v>
      </c>
      <c r="E10" s="19">
        <f>SUMIF('Cleaned Superstore Data'!$M$5:$M$84, B10, 'Cleaned Superstore Data'!$Q$5:$Q$84)</f>
        <v>30.92</v>
      </c>
      <c r="F10" s="5">
        <f>E10/D10</f>
        <v>5.385070883695009E-2</v>
      </c>
    </row>
    <row r="13" spans="1:14" x14ac:dyDescent="0.35">
      <c r="H13" s="9" t="s">
        <v>48</v>
      </c>
    </row>
    <row r="14" spans="1:14" x14ac:dyDescent="0.35">
      <c r="H14" s="36" t="s">
        <v>49</v>
      </c>
      <c r="I14" s="35"/>
      <c r="J14" s="35"/>
      <c r="K14" s="35"/>
      <c r="L14" s="35"/>
      <c r="M14" s="35"/>
      <c r="N14" s="35"/>
    </row>
    <row r="15" spans="1:14" x14ac:dyDescent="0.35">
      <c r="H15" s="35"/>
      <c r="I15" s="35"/>
      <c r="J15" s="35"/>
      <c r="K15" s="35"/>
      <c r="L15" s="35"/>
      <c r="M15" s="35"/>
      <c r="N15" s="35"/>
    </row>
    <row r="16" spans="1:14" x14ac:dyDescent="0.35">
      <c r="H16" s="35"/>
      <c r="I16" s="35"/>
      <c r="J16" s="35"/>
      <c r="K16" s="35"/>
      <c r="L16" s="35"/>
      <c r="M16" s="35"/>
      <c r="N16" s="35"/>
    </row>
    <row r="17" spans="8:14" x14ac:dyDescent="0.35">
      <c r="H17" s="35"/>
      <c r="I17" s="35"/>
      <c r="J17" s="35"/>
      <c r="K17" s="35"/>
      <c r="L17" s="35"/>
      <c r="M17" s="35"/>
      <c r="N17" s="35"/>
    </row>
    <row r="18" spans="8:14" x14ac:dyDescent="0.35">
      <c r="H18" s="35"/>
      <c r="I18" s="35"/>
      <c r="J18" s="35"/>
      <c r="K18" s="35"/>
      <c r="L18" s="35"/>
      <c r="M18" s="35"/>
      <c r="N18" s="35"/>
    </row>
    <row r="19" spans="8:14" x14ac:dyDescent="0.35">
      <c r="H19" s="35"/>
      <c r="I19" s="35"/>
      <c r="J19" s="35"/>
      <c r="K19" s="35"/>
      <c r="L19" s="35"/>
      <c r="M19" s="35"/>
      <c r="N19" s="35"/>
    </row>
    <row r="20" spans="8:14" x14ac:dyDescent="0.35">
      <c r="H20" s="35"/>
      <c r="I20" s="35"/>
      <c r="J20" s="35"/>
      <c r="K20" s="35"/>
      <c r="L20" s="35"/>
      <c r="M20" s="35"/>
      <c r="N20" s="35"/>
    </row>
    <row r="21" spans="8:14" x14ac:dyDescent="0.35">
      <c r="H21" s="35"/>
      <c r="I21" s="35"/>
      <c r="J21" s="35"/>
      <c r="K21" s="35"/>
      <c r="L21" s="35"/>
      <c r="M21" s="35"/>
      <c r="N21" s="35"/>
    </row>
  </sheetData>
  <mergeCells count="3">
    <mergeCell ref="H14:N21"/>
    <mergeCell ref="A2:H2"/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4"/>
  <sheetViews>
    <sheetView topLeftCell="A29" workbookViewId="0">
      <selection sqref="A1:R1"/>
    </sheetView>
  </sheetViews>
  <sheetFormatPr defaultRowHeight="14.5" x14ac:dyDescent="0.35"/>
  <cols>
    <col min="1" max="1" width="110" customWidth="1"/>
    <col min="2" max="3" width="13" customWidth="1"/>
    <col min="4" max="4" width="17" customWidth="1"/>
    <col min="5" max="6" width="14" customWidth="1"/>
    <col min="7" max="8" width="16" customWidth="1"/>
    <col min="9" max="9" width="17" customWidth="1"/>
    <col min="10" max="10" width="13" customWidth="1"/>
    <col min="11" max="11" width="14" customWidth="1"/>
    <col min="12" max="12" width="18" customWidth="1"/>
    <col min="13" max="13" width="15" customWidth="1"/>
    <col min="14" max="17" width="13" customWidth="1"/>
    <col min="18" max="18" width="36" customWidth="1"/>
  </cols>
  <sheetData>
    <row r="1" spans="1:18" ht="34" customHeight="1" x14ac:dyDescent="0.35">
      <c r="A1" s="31" t="s">
        <v>50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20" customHeight="1" x14ac:dyDescent="0.35">
      <c r="A2" s="28" t="s">
        <v>51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4" spans="1:18" ht="24" customHeight="1" x14ac:dyDescent="0.35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60</v>
      </c>
      <c r="J4" s="2" t="s">
        <v>61</v>
      </c>
      <c r="K4" s="2" t="s">
        <v>62</v>
      </c>
      <c r="L4" s="2" t="s">
        <v>7</v>
      </c>
      <c r="M4" s="2" t="s">
        <v>37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67</v>
      </c>
    </row>
    <row r="5" spans="1:18" x14ac:dyDescent="0.35">
      <c r="A5" s="17" t="s">
        <v>68</v>
      </c>
      <c r="B5" s="17" t="s">
        <v>69</v>
      </c>
      <c r="C5" s="17" t="s">
        <v>70</v>
      </c>
      <c r="D5" s="12" t="s">
        <v>71</v>
      </c>
      <c r="E5" s="17" t="s">
        <v>72</v>
      </c>
      <c r="F5" s="12" t="s">
        <v>73</v>
      </c>
      <c r="G5" s="17" t="s">
        <v>74</v>
      </c>
      <c r="H5" s="20" t="s">
        <v>75</v>
      </c>
      <c r="I5" s="20" t="s">
        <v>76</v>
      </c>
      <c r="J5" s="17" t="s">
        <v>23</v>
      </c>
      <c r="K5" s="17" t="s">
        <v>77</v>
      </c>
      <c r="L5" s="12" t="s">
        <v>13</v>
      </c>
      <c r="M5" s="12" t="s">
        <v>78</v>
      </c>
      <c r="N5" s="18">
        <v>177.72</v>
      </c>
      <c r="O5" s="17">
        <v>8</v>
      </c>
      <c r="P5" s="5">
        <v>0</v>
      </c>
      <c r="Q5" s="18">
        <v>28.3</v>
      </c>
      <c r="R5" s="21" t="s">
        <v>79</v>
      </c>
    </row>
    <row r="6" spans="1:18" x14ac:dyDescent="0.35">
      <c r="A6" s="17" t="s">
        <v>80</v>
      </c>
      <c r="B6" s="17" t="s">
        <v>81</v>
      </c>
      <c r="C6" s="17" t="s">
        <v>82</v>
      </c>
      <c r="D6" s="12" t="s">
        <v>71</v>
      </c>
      <c r="E6" s="17" t="s">
        <v>83</v>
      </c>
      <c r="F6" s="12" t="s">
        <v>84</v>
      </c>
      <c r="G6" s="17" t="s">
        <v>74</v>
      </c>
      <c r="H6" s="20" t="s">
        <v>85</v>
      </c>
      <c r="I6" s="20" t="s">
        <v>86</v>
      </c>
      <c r="J6" s="17" t="s">
        <v>25</v>
      </c>
      <c r="K6" s="17" t="s">
        <v>87</v>
      </c>
      <c r="L6" s="12" t="s">
        <v>12</v>
      </c>
      <c r="M6" s="12" t="s">
        <v>88</v>
      </c>
      <c r="N6" s="18">
        <v>125.85</v>
      </c>
      <c r="O6" s="17">
        <v>4</v>
      </c>
      <c r="P6" s="5">
        <v>0.1</v>
      </c>
      <c r="Q6" s="18">
        <v>17.989999999999998</v>
      </c>
      <c r="R6" s="21" t="s">
        <v>79</v>
      </c>
    </row>
    <row r="7" spans="1:18" x14ac:dyDescent="0.35">
      <c r="A7" s="17" t="s">
        <v>89</v>
      </c>
      <c r="B7" s="17" t="s">
        <v>90</v>
      </c>
      <c r="C7" s="17" t="s">
        <v>91</v>
      </c>
      <c r="D7" s="12" t="s">
        <v>92</v>
      </c>
      <c r="E7" s="17" t="s">
        <v>93</v>
      </c>
      <c r="F7" s="12" t="s">
        <v>84</v>
      </c>
      <c r="G7" s="17" t="s">
        <v>74</v>
      </c>
      <c r="H7" s="20" t="s">
        <v>94</v>
      </c>
      <c r="I7" s="20" t="s">
        <v>95</v>
      </c>
      <c r="J7" s="17" t="s">
        <v>29</v>
      </c>
      <c r="K7" s="17" t="s">
        <v>96</v>
      </c>
      <c r="L7" s="12" t="s">
        <v>12</v>
      </c>
      <c r="M7" s="12" t="s">
        <v>97</v>
      </c>
      <c r="N7" s="18">
        <v>315.92</v>
      </c>
      <c r="O7" s="17">
        <v>6</v>
      </c>
      <c r="P7" s="5">
        <v>0.1</v>
      </c>
      <c r="Q7" s="18">
        <v>72.319999999999993</v>
      </c>
      <c r="R7" s="21" t="s">
        <v>79</v>
      </c>
    </row>
    <row r="8" spans="1:18" x14ac:dyDescent="0.35">
      <c r="A8" s="17" t="s">
        <v>98</v>
      </c>
      <c r="B8" s="17" t="s">
        <v>99</v>
      </c>
      <c r="C8" s="17" t="s">
        <v>100</v>
      </c>
      <c r="D8" s="12" t="s">
        <v>101</v>
      </c>
      <c r="E8" s="17" t="s">
        <v>102</v>
      </c>
      <c r="F8" s="12" t="s">
        <v>84</v>
      </c>
      <c r="G8" s="17" t="s">
        <v>74</v>
      </c>
      <c r="H8" s="20" t="s">
        <v>94</v>
      </c>
      <c r="I8" s="20" t="s">
        <v>95</v>
      </c>
      <c r="J8" s="17" t="s">
        <v>29</v>
      </c>
      <c r="K8" s="17" t="s">
        <v>103</v>
      </c>
      <c r="L8" s="12" t="s">
        <v>11</v>
      </c>
      <c r="M8" s="12" t="s">
        <v>104</v>
      </c>
      <c r="N8" s="18">
        <v>545.51</v>
      </c>
      <c r="O8" s="17">
        <v>2</v>
      </c>
      <c r="P8" s="5">
        <v>0.15</v>
      </c>
      <c r="Q8" s="18">
        <v>47.51</v>
      </c>
      <c r="R8" s="21" t="s">
        <v>79</v>
      </c>
    </row>
    <row r="9" spans="1:18" x14ac:dyDescent="0.35">
      <c r="A9" s="17" t="s">
        <v>105</v>
      </c>
      <c r="B9" s="17" t="s">
        <v>106</v>
      </c>
      <c r="C9" s="17" t="s">
        <v>107</v>
      </c>
      <c r="D9" s="12" t="s">
        <v>71</v>
      </c>
      <c r="E9" s="17" t="s">
        <v>108</v>
      </c>
      <c r="F9" s="12" t="s">
        <v>109</v>
      </c>
      <c r="G9" s="17" t="s">
        <v>74</v>
      </c>
      <c r="H9" s="20" t="s">
        <v>85</v>
      </c>
      <c r="I9" s="20" t="s">
        <v>86</v>
      </c>
      <c r="J9" s="17" t="s">
        <v>25</v>
      </c>
      <c r="K9" s="17" t="s">
        <v>110</v>
      </c>
      <c r="L9" s="12" t="s">
        <v>12</v>
      </c>
      <c r="M9" s="12" t="s">
        <v>111</v>
      </c>
      <c r="N9" s="18">
        <v>194.45</v>
      </c>
      <c r="O9" s="17">
        <v>2</v>
      </c>
      <c r="P9" s="5">
        <v>0.1</v>
      </c>
      <c r="Q9" s="18">
        <v>43.42</v>
      </c>
      <c r="R9" s="21" t="s">
        <v>79</v>
      </c>
    </row>
    <row r="10" spans="1:18" x14ac:dyDescent="0.35">
      <c r="A10" s="17" t="s">
        <v>112</v>
      </c>
      <c r="B10" s="17" t="s">
        <v>113</v>
      </c>
      <c r="C10" s="17" t="s">
        <v>114</v>
      </c>
      <c r="D10" s="12" t="s">
        <v>101</v>
      </c>
      <c r="E10" s="17" t="s">
        <v>115</v>
      </c>
      <c r="F10" s="12" t="s">
        <v>84</v>
      </c>
      <c r="G10" s="17" t="s">
        <v>74</v>
      </c>
      <c r="H10" s="20" t="s">
        <v>116</v>
      </c>
      <c r="I10" s="20" t="s">
        <v>117</v>
      </c>
      <c r="J10" s="17" t="s">
        <v>29</v>
      </c>
      <c r="K10" s="17" t="s">
        <v>118</v>
      </c>
      <c r="L10" s="12" t="s">
        <v>11</v>
      </c>
      <c r="M10" s="12" t="s">
        <v>39</v>
      </c>
      <c r="N10" s="18">
        <v>347.99</v>
      </c>
      <c r="O10" s="17">
        <v>2</v>
      </c>
      <c r="P10" s="5">
        <v>0.15</v>
      </c>
      <c r="Q10" s="18">
        <v>99.82</v>
      </c>
      <c r="R10" s="21" t="s">
        <v>79</v>
      </c>
    </row>
    <row r="11" spans="1:18" x14ac:dyDescent="0.35">
      <c r="A11" s="17" t="s">
        <v>119</v>
      </c>
      <c r="B11" s="17" t="s">
        <v>82</v>
      </c>
      <c r="C11" s="17" t="s">
        <v>120</v>
      </c>
      <c r="D11" s="12" t="s">
        <v>101</v>
      </c>
      <c r="E11" s="17" t="s">
        <v>121</v>
      </c>
      <c r="F11" s="12" t="s">
        <v>109</v>
      </c>
      <c r="G11" s="17" t="s">
        <v>74</v>
      </c>
      <c r="H11" s="20" t="s">
        <v>122</v>
      </c>
      <c r="I11" s="20" t="s">
        <v>123</v>
      </c>
      <c r="J11" s="17" t="s">
        <v>25</v>
      </c>
      <c r="K11" s="17" t="s">
        <v>124</v>
      </c>
      <c r="L11" s="12" t="s">
        <v>11</v>
      </c>
      <c r="M11" s="12" t="s">
        <v>104</v>
      </c>
      <c r="N11" s="18">
        <v>1157.1199999999999</v>
      </c>
      <c r="O11" s="17">
        <v>2</v>
      </c>
      <c r="P11" s="22">
        <v>0.35</v>
      </c>
      <c r="Q11" s="23">
        <v>-267.75</v>
      </c>
      <c r="R11" s="24" t="s">
        <v>125</v>
      </c>
    </row>
    <row r="12" spans="1:18" x14ac:dyDescent="0.35">
      <c r="A12" s="17" t="s">
        <v>126</v>
      </c>
      <c r="B12" s="17" t="s">
        <v>127</v>
      </c>
      <c r="C12" s="17" t="s">
        <v>128</v>
      </c>
      <c r="D12" s="12" t="s">
        <v>71</v>
      </c>
      <c r="E12" s="17" t="s">
        <v>129</v>
      </c>
      <c r="F12" s="12" t="s">
        <v>73</v>
      </c>
      <c r="G12" s="17" t="s">
        <v>74</v>
      </c>
      <c r="H12" s="20" t="s">
        <v>75</v>
      </c>
      <c r="I12" s="20" t="s">
        <v>76</v>
      </c>
      <c r="J12" s="17" t="s">
        <v>23</v>
      </c>
      <c r="K12" s="17" t="s">
        <v>130</v>
      </c>
      <c r="L12" s="12" t="s">
        <v>12</v>
      </c>
      <c r="M12" s="12" t="s">
        <v>131</v>
      </c>
      <c r="N12" s="18">
        <v>235.26</v>
      </c>
      <c r="O12" s="17">
        <v>5</v>
      </c>
      <c r="P12" s="5">
        <v>0.1</v>
      </c>
      <c r="Q12" s="18">
        <v>43.26</v>
      </c>
      <c r="R12" s="21" t="s">
        <v>79</v>
      </c>
    </row>
    <row r="13" spans="1:18" x14ac:dyDescent="0.35">
      <c r="A13" s="17" t="s">
        <v>132</v>
      </c>
      <c r="B13" s="17" t="s">
        <v>133</v>
      </c>
      <c r="C13" s="17" t="s">
        <v>134</v>
      </c>
      <c r="D13" s="12" t="s">
        <v>71</v>
      </c>
      <c r="E13" s="17" t="s">
        <v>135</v>
      </c>
      <c r="F13" s="12" t="s">
        <v>84</v>
      </c>
      <c r="G13" s="17" t="s">
        <v>74</v>
      </c>
      <c r="H13" s="20" t="s">
        <v>136</v>
      </c>
      <c r="I13" s="20" t="s">
        <v>137</v>
      </c>
      <c r="J13" s="17" t="s">
        <v>23</v>
      </c>
      <c r="K13" s="17" t="s">
        <v>138</v>
      </c>
      <c r="L13" s="12" t="s">
        <v>13</v>
      </c>
      <c r="M13" s="12" t="s">
        <v>78</v>
      </c>
      <c r="N13" s="18">
        <v>163.77000000000001</v>
      </c>
      <c r="O13" s="17">
        <v>1</v>
      </c>
      <c r="P13" s="5">
        <v>0.2</v>
      </c>
      <c r="Q13" s="18">
        <v>29.9</v>
      </c>
      <c r="R13" s="21" t="s">
        <v>79</v>
      </c>
    </row>
    <row r="14" spans="1:18" x14ac:dyDescent="0.35">
      <c r="A14" s="17" t="s">
        <v>139</v>
      </c>
      <c r="B14" s="17" t="s">
        <v>140</v>
      </c>
      <c r="C14" s="17" t="s">
        <v>141</v>
      </c>
      <c r="D14" s="12" t="s">
        <v>71</v>
      </c>
      <c r="E14" s="17" t="s">
        <v>142</v>
      </c>
      <c r="F14" s="12" t="s">
        <v>84</v>
      </c>
      <c r="G14" s="17" t="s">
        <v>74</v>
      </c>
      <c r="H14" s="20" t="s">
        <v>143</v>
      </c>
      <c r="I14" s="20" t="s">
        <v>144</v>
      </c>
      <c r="J14" s="17" t="s">
        <v>27</v>
      </c>
      <c r="K14" s="17" t="s">
        <v>145</v>
      </c>
      <c r="L14" s="12" t="s">
        <v>13</v>
      </c>
      <c r="M14" s="12" t="s">
        <v>78</v>
      </c>
      <c r="N14" s="18">
        <v>93.57</v>
      </c>
      <c r="O14" s="17">
        <v>6</v>
      </c>
      <c r="P14" s="5">
        <v>0</v>
      </c>
      <c r="Q14" s="18">
        <v>14.21</v>
      </c>
      <c r="R14" s="21" t="s">
        <v>79</v>
      </c>
    </row>
    <row r="15" spans="1:18" x14ac:dyDescent="0.35">
      <c r="A15" s="17" t="s">
        <v>146</v>
      </c>
      <c r="B15" s="17" t="s">
        <v>147</v>
      </c>
      <c r="C15" s="17" t="s">
        <v>148</v>
      </c>
      <c r="D15" s="12" t="s">
        <v>101</v>
      </c>
      <c r="E15" s="17" t="s">
        <v>149</v>
      </c>
      <c r="F15" s="12" t="s">
        <v>73</v>
      </c>
      <c r="G15" s="17" t="s">
        <v>74</v>
      </c>
      <c r="H15" s="20" t="s">
        <v>75</v>
      </c>
      <c r="I15" s="20" t="s">
        <v>76</v>
      </c>
      <c r="J15" s="17" t="s">
        <v>23</v>
      </c>
      <c r="K15" s="17" t="s">
        <v>150</v>
      </c>
      <c r="L15" s="12" t="s">
        <v>13</v>
      </c>
      <c r="M15" s="12" t="s">
        <v>151</v>
      </c>
      <c r="N15" s="18">
        <v>171.26</v>
      </c>
      <c r="O15" s="17">
        <v>3</v>
      </c>
      <c r="P15" s="5">
        <v>0</v>
      </c>
      <c r="Q15" s="18">
        <v>27.68</v>
      </c>
      <c r="R15" s="21" t="s">
        <v>79</v>
      </c>
    </row>
    <row r="16" spans="1:18" x14ac:dyDescent="0.35">
      <c r="A16" s="17" t="s">
        <v>152</v>
      </c>
      <c r="B16" s="17" t="s">
        <v>153</v>
      </c>
      <c r="C16" s="17" t="s">
        <v>114</v>
      </c>
      <c r="D16" s="12" t="s">
        <v>101</v>
      </c>
      <c r="E16" s="17" t="s">
        <v>154</v>
      </c>
      <c r="F16" s="12" t="s">
        <v>109</v>
      </c>
      <c r="G16" s="17" t="s">
        <v>74</v>
      </c>
      <c r="H16" s="20" t="s">
        <v>155</v>
      </c>
      <c r="I16" s="20" t="s">
        <v>156</v>
      </c>
      <c r="J16" s="17" t="s">
        <v>25</v>
      </c>
      <c r="K16" s="17" t="s">
        <v>157</v>
      </c>
      <c r="L16" s="12" t="s">
        <v>13</v>
      </c>
      <c r="M16" s="12" t="s">
        <v>78</v>
      </c>
      <c r="N16" s="18">
        <v>143.27000000000001</v>
      </c>
      <c r="O16" s="17">
        <v>8</v>
      </c>
      <c r="P16" s="5">
        <v>0.1</v>
      </c>
      <c r="Q16" s="18">
        <v>22.07</v>
      </c>
      <c r="R16" s="21" t="s">
        <v>79</v>
      </c>
    </row>
    <row r="17" spans="1:18" x14ac:dyDescent="0.35">
      <c r="A17" s="17" t="s">
        <v>158</v>
      </c>
      <c r="B17" s="17" t="s">
        <v>159</v>
      </c>
      <c r="C17" s="17" t="s">
        <v>160</v>
      </c>
      <c r="D17" s="12" t="s">
        <v>92</v>
      </c>
      <c r="E17" s="17" t="s">
        <v>161</v>
      </c>
      <c r="F17" s="12" t="s">
        <v>73</v>
      </c>
      <c r="G17" s="17" t="s">
        <v>74</v>
      </c>
      <c r="H17" s="20" t="s">
        <v>162</v>
      </c>
      <c r="I17" s="20" t="s">
        <v>163</v>
      </c>
      <c r="J17" s="17" t="s">
        <v>25</v>
      </c>
      <c r="K17" s="17" t="s">
        <v>164</v>
      </c>
      <c r="L17" s="12" t="s">
        <v>12</v>
      </c>
      <c r="M17" s="12" t="s">
        <v>45</v>
      </c>
      <c r="N17" s="18">
        <v>281.27</v>
      </c>
      <c r="O17" s="17">
        <v>1</v>
      </c>
      <c r="P17" s="5">
        <v>0.1</v>
      </c>
      <c r="Q17" s="18">
        <v>83.81</v>
      </c>
      <c r="R17" s="21" t="s">
        <v>79</v>
      </c>
    </row>
    <row r="18" spans="1:18" x14ac:dyDescent="0.35">
      <c r="A18" s="17" t="s">
        <v>165</v>
      </c>
      <c r="B18" s="17" t="s">
        <v>81</v>
      </c>
      <c r="C18" s="17" t="s">
        <v>166</v>
      </c>
      <c r="D18" s="12" t="s">
        <v>167</v>
      </c>
      <c r="E18" s="17" t="s">
        <v>168</v>
      </c>
      <c r="F18" s="12" t="s">
        <v>73</v>
      </c>
      <c r="G18" s="17" t="s">
        <v>74</v>
      </c>
      <c r="H18" s="20" t="s">
        <v>85</v>
      </c>
      <c r="I18" s="20" t="s">
        <v>86</v>
      </c>
      <c r="J18" s="17" t="s">
        <v>25</v>
      </c>
      <c r="K18" s="17" t="s">
        <v>169</v>
      </c>
      <c r="L18" s="12" t="s">
        <v>12</v>
      </c>
      <c r="M18" s="12" t="s">
        <v>45</v>
      </c>
      <c r="N18" s="18">
        <v>420.98</v>
      </c>
      <c r="O18" s="17">
        <v>7</v>
      </c>
      <c r="P18" s="5">
        <v>0.1</v>
      </c>
      <c r="Q18" s="18">
        <v>127.98</v>
      </c>
      <c r="R18" s="21" t="s">
        <v>79</v>
      </c>
    </row>
    <row r="19" spans="1:18" x14ac:dyDescent="0.35">
      <c r="A19" s="17" t="s">
        <v>170</v>
      </c>
      <c r="B19" s="17" t="s">
        <v>171</v>
      </c>
      <c r="C19" s="17" t="s">
        <v>172</v>
      </c>
      <c r="D19" s="12" t="s">
        <v>167</v>
      </c>
      <c r="E19" s="17" t="s">
        <v>173</v>
      </c>
      <c r="F19" s="12" t="s">
        <v>84</v>
      </c>
      <c r="G19" s="17" t="s">
        <v>74</v>
      </c>
      <c r="H19" s="20" t="s">
        <v>174</v>
      </c>
      <c r="I19" s="20" t="s">
        <v>175</v>
      </c>
      <c r="J19" s="17" t="s">
        <v>27</v>
      </c>
      <c r="K19" s="17" t="s">
        <v>176</v>
      </c>
      <c r="L19" s="12" t="s">
        <v>13</v>
      </c>
      <c r="M19" s="12" t="s">
        <v>151</v>
      </c>
      <c r="N19" s="18">
        <v>94.66</v>
      </c>
      <c r="O19" s="17">
        <v>8</v>
      </c>
      <c r="P19" s="5">
        <v>0.2</v>
      </c>
      <c r="Q19" s="18">
        <v>10.7</v>
      </c>
      <c r="R19" s="21" t="s">
        <v>79</v>
      </c>
    </row>
    <row r="20" spans="1:18" x14ac:dyDescent="0.35">
      <c r="A20" s="17" t="s">
        <v>177</v>
      </c>
      <c r="B20" s="17" t="s">
        <v>178</v>
      </c>
      <c r="C20" s="17" t="s">
        <v>179</v>
      </c>
      <c r="D20" s="12" t="s">
        <v>167</v>
      </c>
      <c r="E20" s="17" t="s">
        <v>180</v>
      </c>
      <c r="F20" s="12" t="s">
        <v>73</v>
      </c>
      <c r="G20" s="17" t="s">
        <v>74</v>
      </c>
      <c r="H20" s="20" t="s">
        <v>75</v>
      </c>
      <c r="I20" s="20" t="s">
        <v>76</v>
      </c>
      <c r="J20" s="17" t="s">
        <v>23</v>
      </c>
      <c r="K20" s="17" t="s">
        <v>181</v>
      </c>
      <c r="L20" s="12" t="s">
        <v>12</v>
      </c>
      <c r="M20" s="12" t="s">
        <v>97</v>
      </c>
      <c r="N20" s="18">
        <v>442.55</v>
      </c>
      <c r="O20" s="17">
        <v>2</v>
      </c>
      <c r="P20" s="5">
        <v>0.05</v>
      </c>
      <c r="Q20" s="18">
        <v>124.02</v>
      </c>
      <c r="R20" s="21" t="s">
        <v>79</v>
      </c>
    </row>
    <row r="21" spans="1:18" x14ac:dyDescent="0.35">
      <c r="A21" s="17" t="s">
        <v>182</v>
      </c>
      <c r="B21" s="17" t="s">
        <v>183</v>
      </c>
      <c r="C21" s="17" t="s">
        <v>184</v>
      </c>
      <c r="D21" s="12" t="s">
        <v>92</v>
      </c>
      <c r="E21" s="17" t="s">
        <v>185</v>
      </c>
      <c r="F21" s="12" t="s">
        <v>73</v>
      </c>
      <c r="G21" s="17" t="s">
        <v>74</v>
      </c>
      <c r="H21" s="20" t="s">
        <v>85</v>
      </c>
      <c r="I21" s="20" t="s">
        <v>86</v>
      </c>
      <c r="J21" s="17" t="s">
        <v>25</v>
      </c>
      <c r="K21" s="17" t="s">
        <v>186</v>
      </c>
      <c r="L21" s="12" t="s">
        <v>11</v>
      </c>
      <c r="M21" s="12" t="s">
        <v>41</v>
      </c>
      <c r="N21" s="18">
        <v>799.47</v>
      </c>
      <c r="O21" s="17">
        <v>1</v>
      </c>
      <c r="P21" s="5">
        <v>0.1</v>
      </c>
      <c r="Q21" s="18">
        <v>236.15</v>
      </c>
      <c r="R21" s="21" t="s">
        <v>79</v>
      </c>
    </row>
    <row r="22" spans="1:18" x14ac:dyDescent="0.35">
      <c r="A22" s="17" t="s">
        <v>187</v>
      </c>
      <c r="B22" s="17" t="s">
        <v>188</v>
      </c>
      <c r="C22" s="17" t="s">
        <v>189</v>
      </c>
      <c r="D22" s="12" t="s">
        <v>167</v>
      </c>
      <c r="E22" s="17" t="s">
        <v>190</v>
      </c>
      <c r="F22" s="12" t="s">
        <v>84</v>
      </c>
      <c r="G22" s="17" t="s">
        <v>74</v>
      </c>
      <c r="H22" s="20" t="s">
        <v>191</v>
      </c>
      <c r="I22" s="20" t="s">
        <v>192</v>
      </c>
      <c r="J22" s="17" t="s">
        <v>23</v>
      </c>
      <c r="K22" s="17" t="s">
        <v>193</v>
      </c>
      <c r="L22" s="12" t="s">
        <v>13</v>
      </c>
      <c r="M22" s="12" t="s">
        <v>151</v>
      </c>
      <c r="N22" s="18">
        <v>192.16</v>
      </c>
      <c r="O22" s="17">
        <v>7</v>
      </c>
      <c r="P22" s="5">
        <v>0.2</v>
      </c>
      <c r="Q22" s="18">
        <v>21.28</v>
      </c>
      <c r="R22" s="21" t="s">
        <v>79</v>
      </c>
    </row>
    <row r="23" spans="1:18" x14ac:dyDescent="0.35">
      <c r="A23" s="17" t="s">
        <v>194</v>
      </c>
      <c r="B23" s="17" t="s">
        <v>195</v>
      </c>
      <c r="C23" s="17" t="s">
        <v>196</v>
      </c>
      <c r="D23" s="12" t="s">
        <v>167</v>
      </c>
      <c r="E23" s="17" t="s">
        <v>197</v>
      </c>
      <c r="F23" s="12" t="s">
        <v>84</v>
      </c>
      <c r="G23" s="17" t="s">
        <v>74</v>
      </c>
      <c r="H23" s="20" t="s">
        <v>198</v>
      </c>
      <c r="I23" s="20" t="s">
        <v>199</v>
      </c>
      <c r="J23" s="17" t="s">
        <v>27</v>
      </c>
      <c r="K23" s="17" t="s">
        <v>200</v>
      </c>
      <c r="L23" s="12" t="s">
        <v>11</v>
      </c>
      <c r="M23" s="12" t="s">
        <v>41</v>
      </c>
      <c r="N23" s="18">
        <v>1283.67</v>
      </c>
      <c r="O23" s="17">
        <v>7</v>
      </c>
      <c r="P23" s="5">
        <v>0.2</v>
      </c>
      <c r="Q23" s="18">
        <v>269.94</v>
      </c>
      <c r="R23" s="21" t="s">
        <v>79</v>
      </c>
    </row>
    <row r="24" spans="1:18" x14ac:dyDescent="0.35">
      <c r="A24" s="17" t="s">
        <v>201</v>
      </c>
      <c r="B24" s="17" t="s">
        <v>202</v>
      </c>
      <c r="C24" s="17" t="s">
        <v>203</v>
      </c>
      <c r="D24" s="12" t="s">
        <v>167</v>
      </c>
      <c r="E24" s="17" t="s">
        <v>204</v>
      </c>
      <c r="F24" s="12" t="s">
        <v>84</v>
      </c>
      <c r="G24" s="17" t="s">
        <v>74</v>
      </c>
      <c r="H24" s="20" t="s">
        <v>143</v>
      </c>
      <c r="I24" s="20" t="s">
        <v>144</v>
      </c>
      <c r="J24" s="17" t="s">
        <v>27</v>
      </c>
      <c r="K24" s="17" t="s">
        <v>205</v>
      </c>
      <c r="L24" s="12" t="s">
        <v>11</v>
      </c>
      <c r="M24" s="12" t="s">
        <v>104</v>
      </c>
      <c r="N24" s="18">
        <v>607.98</v>
      </c>
      <c r="O24" s="17">
        <v>4</v>
      </c>
      <c r="P24" s="22">
        <v>0.7</v>
      </c>
      <c r="Q24" s="23">
        <v>-105.91</v>
      </c>
      <c r="R24" s="24" t="s">
        <v>125</v>
      </c>
    </row>
    <row r="25" spans="1:18" x14ac:dyDescent="0.35">
      <c r="A25" s="17" t="s">
        <v>206</v>
      </c>
      <c r="B25" s="17" t="s">
        <v>81</v>
      </c>
      <c r="C25" s="17" t="s">
        <v>166</v>
      </c>
      <c r="D25" s="12" t="s">
        <v>92</v>
      </c>
      <c r="E25" s="17" t="s">
        <v>207</v>
      </c>
      <c r="F25" s="12" t="s">
        <v>73</v>
      </c>
      <c r="G25" s="17" t="s">
        <v>74</v>
      </c>
      <c r="H25" s="20" t="s">
        <v>75</v>
      </c>
      <c r="I25" s="20" t="s">
        <v>76</v>
      </c>
      <c r="J25" s="17" t="s">
        <v>23</v>
      </c>
      <c r="K25" s="17" t="s">
        <v>208</v>
      </c>
      <c r="L25" s="12" t="s">
        <v>12</v>
      </c>
      <c r="M25" s="12" t="s">
        <v>45</v>
      </c>
      <c r="N25" s="18">
        <v>260.27</v>
      </c>
      <c r="O25" s="17">
        <v>5</v>
      </c>
      <c r="P25" s="5">
        <v>0</v>
      </c>
      <c r="Q25" s="18">
        <v>78.400000000000006</v>
      </c>
      <c r="R25" s="21" t="s">
        <v>79</v>
      </c>
    </row>
    <row r="26" spans="1:18" x14ac:dyDescent="0.35">
      <c r="A26" s="17" t="s">
        <v>209</v>
      </c>
      <c r="B26" s="17" t="s">
        <v>210</v>
      </c>
      <c r="C26" s="17" t="s">
        <v>211</v>
      </c>
      <c r="D26" s="12" t="s">
        <v>71</v>
      </c>
      <c r="E26" s="17" t="s">
        <v>212</v>
      </c>
      <c r="F26" s="12" t="s">
        <v>109</v>
      </c>
      <c r="G26" s="17" t="s">
        <v>74</v>
      </c>
      <c r="H26" s="20" t="s">
        <v>143</v>
      </c>
      <c r="I26" s="20" t="s">
        <v>144</v>
      </c>
      <c r="J26" s="17" t="s">
        <v>27</v>
      </c>
      <c r="K26" s="17" t="s">
        <v>213</v>
      </c>
      <c r="L26" s="12" t="s">
        <v>13</v>
      </c>
      <c r="M26" s="12" t="s">
        <v>214</v>
      </c>
      <c r="N26" s="18">
        <v>653.29999999999995</v>
      </c>
      <c r="O26" s="17">
        <v>1</v>
      </c>
      <c r="P26" s="22">
        <v>0.35</v>
      </c>
      <c r="Q26" s="23">
        <v>-98.12</v>
      </c>
      <c r="R26" s="24" t="s">
        <v>125</v>
      </c>
    </row>
    <row r="27" spans="1:18" x14ac:dyDescent="0.35">
      <c r="A27" s="17" t="s">
        <v>215</v>
      </c>
      <c r="B27" s="17" t="s">
        <v>216</v>
      </c>
      <c r="C27" s="17" t="s">
        <v>217</v>
      </c>
      <c r="D27" s="12" t="s">
        <v>71</v>
      </c>
      <c r="E27" s="17" t="s">
        <v>218</v>
      </c>
      <c r="F27" s="12" t="s">
        <v>73</v>
      </c>
      <c r="G27" s="17" t="s">
        <v>74</v>
      </c>
      <c r="H27" s="20" t="s">
        <v>191</v>
      </c>
      <c r="I27" s="20" t="s">
        <v>192</v>
      </c>
      <c r="J27" s="17" t="s">
        <v>23</v>
      </c>
      <c r="K27" s="17" t="s">
        <v>219</v>
      </c>
      <c r="L27" s="12" t="s">
        <v>11</v>
      </c>
      <c r="M27" s="12" t="s">
        <v>43</v>
      </c>
      <c r="N27" s="18">
        <v>51.04</v>
      </c>
      <c r="O27" s="17">
        <v>4</v>
      </c>
      <c r="P27" s="5">
        <v>0.05</v>
      </c>
      <c r="Q27" s="18">
        <v>12.65</v>
      </c>
      <c r="R27" s="21" t="s">
        <v>79</v>
      </c>
    </row>
    <row r="28" spans="1:18" x14ac:dyDescent="0.35">
      <c r="A28" s="17" t="s">
        <v>220</v>
      </c>
      <c r="B28" s="17" t="s">
        <v>221</v>
      </c>
      <c r="C28" s="17" t="s">
        <v>222</v>
      </c>
      <c r="D28" s="12" t="s">
        <v>92</v>
      </c>
      <c r="E28" s="17" t="s">
        <v>223</v>
      </c>
      <c r="F28" s="12" t="s">
        <v>73</v>
      </c>
      <c r="G28" s="17" t="s">
        <v>74</v>
      </c>
      <c r="H28" s="20" t="s">
        <v>116</v>
      </c>
      <c r="I28" s="20" t="s">
        <v>117</v>
      </c>
      <c r="J28" s="17" t="s">
        <v>29</v>
      </c>
      <c r="K28" s="17" t="s">
        <v>224</v>
      </c>
      <c r="L28" s="12" t="s">
        <v>12</v>
      </c>
      <c r="M28" s="12" t="s">
        <v>97</v>
      </c>
      <c r="N28" s="18">
        <v>391.47</v>
      </c>
      <c r="O28" s="17">
        <v>5</v>
      </c>
      <c r="P28" s="5">
        <v>0.05</v>
      </c>
      <c r="Q28" s="18">
        <v>118.06</v>
      </c>
      <c r="R28" s="21" t="s">
        <v>79</v>
      </c>
    </row>
    <row r="29" spans="1:18" x14ac:dyDescent="0.35">
      <c r="A29" s="17" t="s">
        <v>225</v>
      </c>
      <c r="B29" s="17" t="s">
        <v>226</v>
      </c>
      <c r="C29" s="17" t="s">
        <v>227</v>
      </c>
      <c r="D29" s="12" t="s">
        <v>71</v>
      </c>
      <c r="E29" s="17" t="s">
        <v>228</v>
      </c>
      <c r="F29" s="12" t="s">
        <v>84</v>
      </c>
      <c r="G29" s="17" t="s">
        <v>74</v>
      </c>
      <c r="H29" s="20" t="s">
        <v>229</v>
      </c>
      <c r="I29" s="20" t="s">
        <v>230</v>
      </c>
      <c r="J29" s="17" t="s">
        <v>29</v>
      </c>
      <c r="K29" s="17" t="s">
        <v>231</v>
      </c>
      <c r="L29" s="12" t="s">
        <v>11</v>
      </c>
      <c r="M29" s="12" t="s">
        <v>39</v>
      </c>
      <c r="N29" s="18">
        <v>1428.26</v>
      </c>
      <c r="O29" s="17">
        <v>1</v>
      </c>
      <c r="P29" s="5">
        <v>0.2</v>
      </c>
      <c r="Q29" s="18">
        <v>338.79</v>
      </c>
      <c r="R29" s="21" t="s">
        <v>79</v>
      </c>
    </row>
    <row r="30" spans="1:18" x14ac:dyDescent="0.35">
      <c r="A30" s="17" t="s">
        <v>232</v>
      </c>
      <c r="B30" s="17" t="s">
        <v>233</v>
      </c>
      <c r="C30" s="17" t="s">
        <v>202</v>
      </c>
      <c r="D30" s="12" t="s">
        <v>71</v>
      </c>
      <c r="E30" s="17" t="s">
        <v>234</v>
      </c>
      <c r="F30" s="12" t="s">
        <v>84</v>
      </c>
      <c r="G30" s="17" t="s">
        <v>74</v>
      </c>
      <c r="H30" s="20" t="s">
        <v>143</v>
      </c>
      <c r="I30" s="20" t="s">
        <v>144</v>
      </c>
      <c r="J30" s="17" t="s">
        <v>27</v>
      </c>
      <c r="K30" s="17" t="s">
        <v>235</v>
      </c>
      <c r="L30" s="12" t="s">
        <v>11</v>
      </c>
      <c r="M30" s="12" t="s">
        <v>41</v>
      </c>
      <c r="N30" s="18">
        <v>1414.14</v>
      </c>
      <c r="O30" s="17">
        <v>8</v>
      </c>
      <c r="P30" s="5">
        <v>0.2</v>
      </c>
      <c r="Q30" s="18">
        <v>283.19</v>
      </c>
      <c r="R30" s="21" t="s">
        <v>79</v>
      </c>
    </row>
    <row r="31" spans="1:18" x14ac:dyDescent="0.35">
      <c r="A31" s="17" t="s">
        <v>236</v>
      </c>
      <c r="B31" s="17" t="s">
        <v>188</v>
      </c>
      <c r="C31" s="17" t="s">
        <v>237</v>
      </c>
      <c r="D31" s="12" t="s">
        <v>167</v>
      </c>
      <c r="E31" s="17" t="s">
        <v>238</v>
      </c>
      <c r="F31" s="12" t="s">
        <v>109</v>
      </c>
      <c r="G31" s="17" t="s">
        <v>74</v>
      </c>
      <c r="H31" s="20" t="s">
        <v>116</v>
      </c>
      <c r="I31" s="20" t="s">
        <v>117</v>
      </c>
      <c r="J31" s="17" t="s">
        <v>29</v>
      </c>
      <c r="K31" s="17" t="s">
        <v>239</v>
      </c>
      <c r="L31" s="12" t="s">
        <v>12</v>
      </c>
      <c r="M31" s="12" t="s">
        <v>240</v>
      </c>
      <c r="N31" s="18">
        <v>145.37</v>
      </c>
      <c r="O31" s="17">
        <v>2</v>
      </c>
      <c r="P31" s="5">
        <v>0</v>
      </c>
      <c r="Q31" s="18">
        <v>37.21</v>
      </c>
      <c r="R31" s="21" t="s">
        <v>79</v>
      </c>
    </row>
    <row r="32" spans="1:18" x14ac:dyDescent="0.35">
      <c r="A32" s="17" t="s">
        <v>241</v>
      </c>
      <c r="B32" s="17" t="s">
        <v>242</v>
      </c>
      <c r="C32" s="17" t="s">
        <v>243</v>
      </c>
      <c r="D32" s="12" t="s">
        <v>101</v>
      </c>
      <c r="E32" s="17" t="s">
        <v>244</v>
      </c>
      <c r="F32" s="12" t="s">
        <v>109</v>
      </c>
      <c r="G32" s="17" t="s">
        <v>74</v>
      </c>
      <c r="H32" s="20" t="s">
        <v>245</v>
      </c>
      <c r="I32" s="20" t="s">
        <v>246</v>
      </c>
      <c r="J32" s="17" t="s">
        <v>29</v>
      </c>
      <c r="K32" s="17" t="s">
        <v>247</v>
      </c>
      <c r="L32" s="12" t="s">
        <v>13</v>
      </c>
      <c r="M32" s="12" t="s">
        <v>151</v>
      </c>
      <c r="N32" s="18">
        <v>17.98</v>
      </c>
      <c r="O32" s="17">
        <v>2</v>
      </c>
      <c r="P32" s="5">
        <v>0.1</v>
      </c>
      <c r="Q32" s="18">
        <v>4.45</v>
      </c>
      <c r="R32" s="21" t="s">
        <v>79</v>
      </c>
    </row>
    <row r="33" spans="1:18" x14ac:dyDescent="0.35">
      <c r="A33" s="17" t="s">
        <v>248</v>
      </c>
      <c r="B33" s="17" t="s">
        <v>249</v>
      </c>
      <c r="C33" s="17" t="s">
        <v>250</v>
      </c>
      <c r="D33" s="12" t="s">
        <v>92</v>
      </c>
      <c r="E33" s="17" t="s">
        <v>251</v>
      </c>
      <c r="F33" s="12" t="s">
        <v>109</v>
      </c>
      <c r="G33" s="17" t="s">
        <v>74</v>
      </c>
      <c r="H33" s="20" t="s">
        <v>252</v>
      </c>
      <c r="I33" s="20" t="s">
        <v>199</v>
      </c>
      <c r="J33" s="17" t="s">
        <v>27</v>
      </c>
      <c r="K33" s="17" t="s">
        <v>253</v>
      </c>
      <c r="L33" s="12" t="s">
        <v>13</v>
      </c>
      <c r="M33" s="12" t="s">
        <v>151</v>
      </c>
      <c r="N33" s="18">
        <v>27.01</v>
      </c>
      <c r="O33" s="17">
        <v>3</v>
      </c>
      <c r="P33" s="5">
        <v>0</v>
      </c>
      <c r="Q33" s="18">
        <v>6.72</v>
      </c>
      <c r="R33" s="21" t="s">
        <v>79</v>
      </c>
    </row>
    <row r="34" spans="1:18" x14ac:dyDescent="0.35">
      <c r="A34" s="17" t="s">
        <v>254</v>
      </c>
      <c r="B34" s="17" t="s">
        <v>255</v>
      </c>
      <c r="C34" s="17" t="s">
        <v>256</v>
      </c>
      <c r="D34" s="12" t="s">
        <v>92</v>
      </c>
      <c r="E34" s="17" t="s">
        <v>257</v>
      </c>
      <c r="F34" s="12" t="s">
        <v>73</v>
      </c>
      <c r="G34" s="17" t="s">
        <v>74</v>
      </c>
      <c r="H34" s="20" t="s">
        <v>116</v>
      </c>
      <c r="I34" s="20" t="s">
        <v>117</v>
      </c>
      <c r="J34" s="17" t="s">
        <v>29</v>
      </c>
      <c r="K34" s="17" t="s">
        <v>258</v>
      </c>
      <c r="L34" s="12" t="s">
        <v>11</v>
      </c>
      <c r="M34" s="12" t="s">
        <v>41</v>
      </c>
      <c r="N34" s="18">
        <v>1048.5999999999999</v>
      </c>
      <c r="O34" s="17">
        <v>3</v>
      </c>
      <c r="P34" s="5">
        <v>0.2</v>
      </c>
      <c r="Q34" s="18">
        <v>354.99</v>
      </c>
      <c r="R34" s="21" t="s">
        <v>79</v>
      </c>
    </row>
    <row r="35" spans="1:18" x14ac:dyDescent="0.35">
      <c r="A35" s="17" t="s">
        <v>259</v>
      </c>
      <c r="B35" s="17" t="s">
        <v>250</v>
      </c>
      <c r="C35" s="17" t="s">
        <v>260</v>
      </c>
      <c r="D35" s="12" t="s">
        <v>167</v>
      </c>
      <c r="E35" s="17" t="s">
        <v>261</v>
      </c>
      <c r="F35" s="12" t="s">
        <v>109</v>
      </c>
      <c r="G35" s="17" t="s">
        <v>74</v>
      </c>
      <c r="H35" s="20" t="s">
        <v>252</v>
      </c>
      <c r="I35" s="20" t="s">
        <v>199</v>
      </c>
      <c r="J35" s="17" t="s">
        <v>27</v>
      </c>
      <c r="K35" s="17" t="s">
        <v>262</v>
      </c>
      <c r="L35" s="12" t="s">
        <v>13</v>
      </c>
      <c r="M35" s="12" t="s">
        <v>151</v>
      </c>
      <c r="N35" s="18">
        <v>23.8</v>
      </c>
      <c r="O35" s="17">
        <v>6</v>
      </c>
      <c r="P35" s="5">
        <v>0.1</v>
      </c>
      <c r="Q35" s="18">
        <v>3.37</v>
      </c>
      <c r="R35" s="21" t="s">
        <v>79</v>
      </c>
    </row>
    <row r="36" spans="1:18" x14ac:dyDescent="0.35">
      <c r="A36" s="17" t="s">
        <v>263</v>
      </c>
      <c r="B36" s="17" t="s">
        <v>202</v>
      </c>
      <c r="C36" s="17" t="s">
        <v>264</v>
      </c>
      <c r="D36" s="12" t="s">
        <v>101</v>
      </c>
      <c r="E36" s="17" t="s">
        <v>265</v>
      </c>
      <c r="F36" s="12" t="s">
        <v>84</v>
      </c>
      <c r="G36" s="17" t="s">
        <v>74</v>
      </c>
      <c r="H36" s="20" t="s">
        <v>155</v>
      </c>
      <c r="I36" s="20" t="s">
        <v>156</v>
      </c>
      <c r="J36" s="17" t="s">
        <v>25</v>
      </c>
      <c r="K36" s="17" t="s">
        <v>266</v>
      </c>
      <c r="L36" s="12" t="s">
        <v>11</v>
      </c>
      <c r="M36" s="12" t="s">
        <v>43</v>
      </c>
      <c r="N36" s="18">
        <v>177.68</v>
      </c>
      <c r="O36" s="17">
        <v>7</v>
      </c>
      <c r="P36" s="22">
        <v>0.3</v>
      </c>
      <c r="Q36" s="23">
        <v>-23.33</v>
      </c>
      <c r="R36" s="24" t="s">
        <v>125</v>
      </c>
    </row>
    <row r="37" spans="1:18" x14ac:dyDescent="0.35">
      <c r="A37" s="17" t="s">
        <v>267</v>
      </c>
      <c r="B37" s="17" t="s">
        <v>268</v>
      </c>
      <c r="C37" s="17" t="s">
        <v>269</v>
      </c>
      <c r="D37" s="12" t="s">
        <v>101</v>
      </c>
      <c r="E37" s="17" t="s">
        <v>270</v>
      </c>
      <c r="F37" s="12" t="s">
        <v>84</v>
      </c>
      <c r="G37" s="17" t="s">
        <v>74</v>
      </c>
      <c r="H37" s="20" t="s">
        <v>85</v>
      </c>
      <c r="I37" s="20" t="s">
        <v>86</v>
      </c>
      <c r="J37" s="17" t="s">
        <v>25</v>
      </c>
      <c r="K37" s="17" t="s">
        <v>271</v>
      </c>
      <c r="L37" s="12" t="s">
        <v>12</v>
      </c>
      <c r="M37" s="12" t="s">
        <v>47</v>
      </c>
      <c r="N37" s="18">
        <v>379.53</v>
      </c>
      <c r="O37" s="17">
        <v>7</v>
      </c>
      <c r="P37" s="5">
        <v>0.05</v>
      </c>
      <c r="Q37" s="18">
        <v>75.97</v>
      </c>
      <c r="R37" s="21" t="s">
        <v>79</v>
      </c>
    </row>
    <row r="38" spans="1:18" x14ac:dyDescent="0.35">
      <c r="A38" s="17" t="s">
        <v>272</v>
      </c>
      <c r="B38" s="17" t="s">
        <v>120</v>
      </c>
      <c r="C38" s="17" t="s">
        <v>273</v>
      </c>
      <c r="D38" s="12" t="s">
        <v>92</v>
      </c>
      <c r="E38" s="17" t="s">
        <v>274</v>
      </c>
      <c r="F38" s="12" t="s">
        <v>84</v>
      </c>
      <c r="G38" s="17" t="s">
        <v>74</v>
      </c>
      <c r="H38" s="20" t="s">
        <v>275</v>
      </c>
      <c r="I38" s="20" t="s">
        <v>76</v>
      </c>
      <c r="J38" s="17" t="s">
        <v>23</v>
      </c>
      <c r="K38" s="17" t="s">
        <v>276</v>
      </c>
      <c r="L38" s="12" t="s">
        <v>12</v>
      </c>
      <c r="M38" s="12" t="s">
        <v>240</v>
      </c>
      <c r="N38" s="18">
        <v>86.25</v>
      </c>
      <c r="O38" s="17">
        <v>1</v>
      </c>
      <c r="P38" s="5">
        <v>0.2</v>
      </c>
      <c r="Q38" s="18">
        <v>10.62</v>
      </c>
      <c r="R38" s="21" t="s">
        <v>79</v>
      </c>
    </row>
    <row r="39" spans="1:18" x14ac:dyDescent="0.35">
      <c r="A39" s="17" t="s">
        <v>277</v>
      </c>
      <c r="B39" s="17" t="s">
        <v>278</v>
      </c>
      <c r="C39" s="17" t="s">
        <v>279</v>
      </c>
      <c r="D39" s="12" t="s">
        <v>167</v>
      </c>
      <c r="E39" s="17" t="s">
        <v>280</v>
      </c>
      <c r="F39" s="12" t="s">
        <v>109</v>
      </c>
      <c r="G39" s="17" t="s">
        <v>74</v>
      </c>
      <c r="H39" s="20" t="s">
        <v>174</v>
      </c>
      <c r="I39" s="20" t="s">
        <v>175</v>
      </c>
      <c r="J39" s="17" t="s">
        <v>27</v>
      </c>
      <c r="K39" s="17" t="s">
        <v>281</v>
      </c>
      <c r="L39" s="12" t="s">
        <v>13</v>
      </c>
      <c r="M39" s="12" t="s">
        <v>78</v>
      </c>
      <c r="N39" s="18">
        <v>198.88</v>
      </c>
      <c r="O39" s="17">
        <v>5</v>
      </c>
      <c r="P39" s="5">
        <v>0</v>
      </c>
      <c r="Q39" s="18">
        <v>52.49</v>
      </c>
      <c r="R39" s="21" t="s">
        <v>79</v>
      </c>
    </row>
    <row r="40" spans="1:18" x14ac:dyDescent="0.35">
      <c r="A40" s="17" t="s">
        <v>282</v>
      </c>
      <c r="B40" s="17" t="s">
        <v>100</v>
      </c>
      <c r="C40" s="17" t="s">
        <v>283</v>
      </c>
      <c r="D40" s="12" t="s">
        <v>92</v>
      </c>
      <c r="E40" s="17" t="s">
        <v>284</v>
      </c>
      <c r="F40" s="12" t="s">
        <v>109</v>
      </c>
      <c r="G40" s="17" t="s">
        <v>74</v>
      </c>
      <c r="H40" s="20" t="s">
        <v>245</v>
      </c>
      <c r="I40" s="20" t="s">
        <v>246</v>
      </c>
      <c r="J40" s="17" t="s">
        <v>29</v>
      </c>
      <c r="K40" s="17" t="s">
        <v>285</v>
      </c>
      <c r="L40" s="12" t="s">
        <v>11</v>
      </c>
      <c r="M40" s="12" t="s">
        <v>43</v>
      </c>
      <c r="N40" s="18">
        <v>248.38</v>
      </c>
      <c r="O40" s="17">
        <v>1</v>
      </c>
      <c r="P40" s="5">
        <v>0.05</v>
      </c>
      <c r="Q40" s="18">
        <v>52.63</v>
      </c>
      <c r="R40" s="21" t="s">
        <v>79</v>
      </c>
    </row>
    <row r="41" spans="1:18" x14ac:dyDescent="0.35">
      <c r="A41" s="17" t="s">
        <v>286</v>
      </c>
      <c r="B41" s="17" t="s">
        <v>287</v>
      </c>
      <c r="C41" s="17" t="s">
        <v>166</v>
      </c>
      <c r="D41" s="12" t="s">
        <v>167</v>
      </c>
      <c r="E41" s="17" t="s">
        <v>288</v>
      </c>
      <c r="F41" s="12" t="s">
        <v>73</v>
      </c>
      <c r="G41" s="17" t="s">
        <v>74</v>
      </c>
      <c r="H41" s="20" t="s">
        <v>116</v>
      </c>
      <c r="I41" s="20" t="s">
        <v>117</v>
      </c>
      <c r="J41" s="17" t="s">
        <v>29</v>
      </c>
      <c r="K41" s="17" t="s">
        <v>289</v>
      </c>
      <c r="L41" s="12" t="s">
        <v>13</v>
      </c>
      <c r="M41" s="12" t="s">
        <v>151</v>
      </c>
      <c r="N41" s="18">
        <v>129.61000000000001</v>
      </c>
      <c r="O41" s="17">
        <v>6</v>
      </c>
      <c r="P41" s="5">
        <v>0</v>
      </c>
      <c r="Q41" s="18">
        <v>21.5</v>
      </c>
      <c r="R41" s="21" t="s">
        <v>79</v>
      </c>
    </row>
    <row r="42" spans="1:18" x14ac:dyDescent="0.35">
      <c r="A42" s="17" t="s">
        <v>290</v>
      </c>
      <c r="B42" s="17" t="s">
        <v>291</v>
      </c>
      <c r="C42" s="17" t="s">
        <v>292</v>
      </c>
      <c r="D42" s="12" t="s">
        <v>167</v>
      </c>
      <c r="E42" s="17" t="s">
        <v>293</v>
      </c>
      <c r="F42" s="12" t="s">
        <v>84</v>
      </c>
      <c r="G42" s="17" t="s">
        <v>74</v>
      </c>
      <c r="H42" s="20" t="s">
        <v>191</v>
      </c>
      <c r="I42" s="20" t="s">
        <v>192</v>
      </c>
      <c r="J42" s="17" t="s">
        <v>23</v>
      </c>
      <c r="K42" s="17" t="s">
        <v>294</v>
      </c>
      <c r="L42" s="12" t="s">
        <v>12</v>
      </c>
      <c r="M42" s="12" t="s">
        <v>295</v>
      </c>
      <c r="N42" s="18">
        <v>202.64</v>
      </c>
      <c r="O42" s="17">
        <v>5</v>
      </c>
      <c r="P42" s="5">
        <v>0</v>
      </c>
      <c r="Q42" s="18">
        <v>51.02</v>
      </c>
      <c r="R42" s="21" t="s">
        <v>79</v>
      </c>
    </row>
    <row r="43" spans="1:18" x14ac:dyDescent="0.35">
      <c r="A43" s="17" t="s">
        <v>296</v>
      </c>
      <c r="B43" s="17" t="s">
        <v>297</v>
      </c>
      <c r="C43" s="17" t="s">
        <v>298</v>
      </c>
      <c r="D43" s="12" t="s">
        <v>71</v>
      </c>
      <c r="E43" s="17" t="s">
        <v>299</v>
      </c>
      <c r="F43" s="12" t="s">
        <v>73</v>
      </c>
      <c r="G43" s="17" t="s">
        <v>74</v>
      </c>
      <c r="H43" s="20" t="s">
        <v>75</v>
      </c>
      <c r="I43" s="20" t="s">
        <v>76</v>
      </c>
      <c r="J43" s="17" t="s">
        <v>23</v>
      </c>
      <c r="K43" s="17" t="s">
        <v>300</v>
      </c>
      <c r="L43" s="12" t="s">
        <v>12</v>
      </c>
      <c r="M43" s="12" t="s">
        <v>45</v>
      </c>
      <c r="N43" s="18">
        <v>317.77999999999997</v>
      </c>
      <c r="O43" s="17">
        <v>7</v>
      </c>
      <c r="P43" s="22">
        <v>0.3</v>
      </c>
      <c r="Q43" s="23">
        <v>-40.69</v>
      </c>
      <c r="R43" s="24" t="s">
        <v>125</v>
      </c>
    </row>
    <row r="44" spans="1:18" x14ac:dyDescent="0.35">
      <c r="A44" s="17" t="s">
        <v>301</v>
      </c>
      <c r="B44" s="17" t="s">
        <v>140</v>
      </c>
      <c r="C44" s="17" t="s">
        <v>302</v>
      </c>
      <c r="D44" s="12" t="s">
        <v>92</v>
      </c>
      <c r="E44" s="17" t="s">
        <v>303</v>
      </c>
      <c r="F44" s="12" t="s">
        <v>73</v>
      </c>
      <c r="G44" s="17" t="s">
        <v>74</v>
      </c>
      <c r="H44" s="20" t="s">
        <v>162</v>
      </c>
      <c r="I44" s="20" t="s">
        <v>163</v>
      </c>
      <c r="J44" s="17" t="s">
        <v>25</v>
      </c>
      <c r="K44" s="17" t="s">
        <v>304</v>
      </c>
      <c r="L44" s="12" t="s">
        <v>11</v>
      </c>
      <c r="M44" s="12" t="s">
        <v>39</v>
      </c>
      <c r="N44" s="18">
        <v>1792.92</v>
      </c>
      <c r="O44" s="17">
        <v>6</v>
      </c>
      <c r="P44" s="5">
        <v>0.1</v>
      </c>
      <c r="Q44" s="18">
        <v>407.07</v>
      </c>
      <c r="R44" s="21" t="s">
        <v>79</v>
      </c>
    </row>
    <row r="45" spans="1:18" x14ac:dyDescent="0.35">
      <c r="A45" s="17" t="s">
        <v>305</v>
      </c>
      <c r="B45" s="17" t="s">
        <v>306</v>
      </c>
      <c r="C45" s="17" t="s">
        <v>307</v>
      </c>
      <c r="D45" s="12" t="s">
        <v>167</v>
      </c>
      <c r="E45" s="17" t="s">
        <v>308</v>
      </c>
      <c r="F45" s="12" t="s">
        <v>109</v>
      </c>
      <c r="G45" s="17" t="s">
        <v>74</v>
      </c>
      <c r="H45" s="20" t="s">
        <v>174</v>
      </c>
      <c r="I45" s="20" t="s">
        <v>175</v>
      </c>
      <c r="J45" s="17" t="s">
        <v>27</v>
      </c>
      <c r="K45" s="17" t="s">
        <v>309</v>
      </c>
      <c r="L45" s="12" t="s">
        <v>12</v>
      </c>
      <c r="M45" s="12" t="s">
        <v>88</v>
      </c>
      <c r="N45" s="18">
        <v>96.45</v>
      </c>
      <c r="O45" s="17">
        <v>3</v>
      </c>
      <c r="P45" s="5">
        <v>0.2</v>
      </c>
      <c r="Q45" s="18">
        <v>13.48</v>
      </c>
      <c r="R45" s="21" t="s">
        <v>79</v>
      </c>
    </row>
    <row r="46" spans="1:18" x14ac:dyDescent="0.35">
      <c r="A46" s="17" t="s">
        <v>310</v>
      </c>
      <c r="B46" s="17" t="s">
        <v>311</v>
      </c>
      <c r="C46" s="17" t="s">
        <v>312</v>
      </c>
      <c r="D46" s="12" t="s">
        <v>167</v>
      </c>
      <c r="E46" s="17" t="s">
        <v>313</v>
      </c>
      <c r="F46" s="12" t="s">
        <v>73</v>
      </c>
      <c r="G46" s="17" t="s">
        <v>74</v>
      </c>
      <c r="H46" s="20" t="s">
        <v>229</v>
      </c>
      <c r="I46" s="20" t="s">
        <v>230</v>
      </c>
      <c r="J46" s="17" t="s">
        <v>29</v>
      </c>
      <c r="K46" s="17" t="s">
        <v>314</v>
      </c>
      <c r="L46" s="12" t="s">
        <v>12</v>
      </c>
      <c r="M46" s="12" t="s">
        <v>131</v>
      </c>
      <c r="N46" s="18">
        <v>109.2</v>
      </c>
      <c r="O46" s="17">
        <v>2</v>
      </c>
      <c r="P46" s="5">
        <v>0.1</v>
      </c>
      <c r="Q46" s="18">
        <v>18.53</v>
      </c>
      <c r="R46" s="21" t="s">
        <v>79</v>
      </c>
    </row>
    <row r="47" spans="1:18" x14ac:dyDescent="0.35">
      <c r="A47" s="17" t="s">
        <v>315</v>
      </c>
      <c r="B47" s="17" t="s">
        <v>316</v>
      </c>
      <c r="C47" s="17" t="s">
        <v>317</v>
      </c>
      <c r="D47" s="12" t="s">
        <v>167</v>
      </c>
      <c r="E47" s="17" t="s">
        <v>318</v>
      </c>
      <c r="F47" s="12" t="s">
        <v>109</v>
      </c>
      <c r="G47" s="17" t="s">
        <v>74</v>
      </c>
      <c r="H47" s="20" t="s">
        <v>136</v>
      </c>
      <c r="I47" s="20" t="s">
        <v>137</v>
      </c>
      <c r="J47" s="17" t="s">
        <v>23</v>
      </c>
      <c r="K47" s="17" t="s">
        <v>319</v>
      </c>
      <c r="L47" s="12" t="s">
        <v>12</v>
      </c>
      <c r="M47" s="12" t="s">
        <v>88</v>
      </c>
      <c r="N47" s="18">
        <v>113.4</v>
      </c>
      <c r="O47" s="17">
        <v>2</v>
      </c>
      <c r="P47" s="5">
        <v>0</v>
      </c>
      <c r="Q47" s="18">
        <v>11.76</v>
      </c>
      <c r="R47" s="21" t="s">
        <v>79</v>
      </c>
    </row>
    <row r="48" spans="1:18" x14ac:dyDescent="0.35">
      <c r="A48" s="17" t="s">
        <v>320</v>
      </c>
      <c r="B48" s="17" t="s">
        <v>321</v>
      </c>
      <c r="C48" s="17" t="s">
        <v>322</v>
      </c>
      <c r="D48" s="12" t="s">
        <v>167</v>
      </c>
      <c r="E48" s="17" t="s">
        <v>323</v>
      </c>
      <c r="F48" s="12" t="s">
        <v>84</v>
      </c>
      <c r="G48" s="17" t="s">
        <v>74</v>
      </c>
      <c r="H48" s="20" t="s">
        <v>155</v>
      </c>
      <c r="I48" s="20" t="s">
        <v>156</v>
      </c>
      <c r="J48" s="17" t="s">
        <v>25</v>
      </c>
      <c r="K48" s="17" t="s">
        <v>324</v>
      </c>
      <c r="L48" s="12" t="s">
        <v>11</v>
      </c>
      <c r="M48" s="12" t="s">
        <v>104</v>
      </c>
      <c r="N48" s="18">
        <v>275.76</v>
      </c>
      <c r="O48" s="17">
        <v>8</v>
      </c>
      <c r="P48" s="22">
        <v>0.25</v>
      </c>
      <c r="Q48" s="23">
        <v>-111.52</v>
      </c>
      <c r="R48" s="24" t="s">
        <v>125</v>
      </c>
    </row>
    <row r="49" spans="1:18" x14ac:dyDescent="0.35">
      <c r="A49" s="17" t="s">
        <v>325</v>
      </c>
      <c r="B49" s="17" t="s">
        <v>316</v>
      </c>
      <c r="C49" s="17" t="s">
        <v>326</v>
      </c>
      <c r="D49" s="12" t="s">
        <v>167</v>
      </c>
      <c r="E49" s="17" t="s">
        <v>327</v>
      </c>
      <c r="F49" s="12" t="s">
        <v>84</v>
      </c>
      <c r="G49" s="17" t="s">
        <v>74</v>
      </c>
      <c r="H49" s="20" t="s">
        <v>174</v>
      </c>
      <c r="I49" s="20" t="s">
        <v>175</v>
      </c>
      <c r="J49" s="17" t="s">
        <v>27</v>
      </c>
      <c r="K49" s="17" t="s">
        <v>328</v>
      </c>
      <c r="L49" s="12" t="s">
        <v>13</v>
      </c>
      <c r="M49" s="12" t="s">
        <v>78</v>
      </c>
      <c r="N49" s="18">
        <v>110.27</v>
      </c>
      <c r="O49" s="17">
        <v>1</v>
      </c>
      <c r="P49" s="5">
        <v>0.2</v>
      </c>
      <c r="Q49" s="18">
        <v>14.39</v>
      </c>
      <c r="R49" s="21" t="s">
        <v>79</v>
      </c>
    </row>
    <row r="50" spans="1:18" x14ac:dyDescent="0.35">
      <c r="A50" s="17" t="s">
        <v>329</v>
      </c>
      <c r="B50" s="17" t="s">
        <v>330</v>
      </c>
      <c r="C50" s="17" t="s">
        <v>331</v>
      </c>
      <c r="D50" s="12" t="s">
        <v>167</v>
      </c>
      <c r="E50" s="17" t="s">
        <v>332</v>
      </c>
      <c r="F50" s="12" t="s">
        <v>109</v>
      </c>
      <c r="G50" s="17" t="s">
        <v>74</v>
      </c>
      <c r="H50" s="20" t="s">
        <v>122</v>
      </c>
      <c r="I50" s="20" t="s">
        <v>123</v>
      </c>
      <c r="J50" s="17" t="s">
        <v>25</v>
      </c>
      <c r="K50" s="17" t="s">
        <v>333</v>
      </c>
      <c r="L50" s="12" t="s">
        <v>11</v>
      </c>
      <c r="M50" s="12" t="s">
        <v>104</v>
      </c>
      <c r="N50" s="18">
        <v>350.8</v>
      </c>
      <c r="O50" s="17">
        <v>7</v>
      </c>
      <c r="P50" s="22">
        <v>0.25</v>
      </c>
      <c r="Q50" s="23">
        <v>-86.12</v>
      </c>
      <c r="R50" s="24" t="s">
        <v>125</v>
      </c>
    </row>
    <row r="51" spans="1:18" x14ac:dyDescent="0.35">
      <c r="A51" s="17" t="s">
        <v>334</v>
      </c>
      <c r="B51" s="17" t="s">
        <v>227</v>
      </c>
      <c r="C51" s="17" t="s">
        <v>242</v>
      </c>
      <c r="D51" s="12" t="s">
        <v>71</v>
      </c>
      <c r="E51" s="17" t="s">
        <v>335</v>
      </c>
      <c r="F51" s="12" t="s">
        <v>109</v>
      </c>
      <c r="G51" s="17" t="s">
        <v>74</v>
      </c>
      <c r="H51" s="20" t="s">
        <v>275</v>
      </c>
      <c r="I51" s="20" t="s">
        <v>76</v>
      </c>
      <c r="J51" s="17" t="s">
        <v>23</v>
      </c>
      <c r="K51" s="17" t="s">
        <v>336</v>
      </c>
      <c r="L51" s="12" t="s">
        <v>13</v>
      </c>
      <c r="M51" s="12" t="s">
        <v>151</v>
      </c>
      <c r="N51" s="18">
        <v>140.99</v>
      </c>
      <c r="O51" s="17">
        <v>3</v>
      </c>
      <c r="P51" s="5">
        <v>0.1</v>
      </c>
      <c r="Q51" s="18">
        <v>30.97</v>
      </c>
      <c r="R51" s="21" t="s">
        <v>79</v>
      </c>
    </row>
    <row r="52" spans="1:18" x14ac:dyDescent="0.35">
      <c r="A52" s="17" t="s">
        <v>337</v>
      </c>
      <c r="B52" s="17" t="s">
        <v>338</v>
      </c>
      <c r="C52" s="17" t="s">
        <v>217</v>
      </c>
      <c r="D52" s="12" t="s">
        <v>71</v>
      </c>
      <c r="E52" s="17" t="s">
        <v>339</v>
      </c>
      <c r="F52" s="12" t="s">
        <v>109</v>
      </c>
      <c r="G52" s="17" t="s">
        <v>74</v>
      </c>
      <c r="H52" s="20" t="s">
        <v>229</v>
      </c>
      <c r="I52" s="20" t="s">
        <v>230</v>
      </c>
      <c r="J52" s="17" t="s">
        <v>29</v>
      </c>
      <c r="K52" s="17" t="s">
        <v>340</v>
      </c>
      <c r="L52" s="12" t="s">
        <v>11</v>
      </c>
      <c r="M52" s="12" t="s">
        <v>39</v>
      </c>
      <c r="N52" s="18">
        <v>574.54999999999995</v>
      </c>
      <c r="O52" s="17">
        <v>8</v>
      </c>
      <c r="P52" s="5">
        <v>0.1</v>
      </c>
      <c r="Q52" s="18">
        <v>184.2</v>
      </c>
      <c r="R52" s="21" t="s">
        <v>79</v>
      </c>
    </row>
    <row r="53" spans="1:18" x14ac:dyDescent="0.35">
      <c r="A53" s="17" t="s">
        <v>341</v>
      </c>
      <c r="B53" s="17" t="s">
        <v>342</v>
      </c>
      <c r="C53" s="17" t="s">
        <v>127</v>
      </c>
      <c r="D53" s="12" t="s">
        <v>167</v>
      </c>
      <c r="E53" s="17" t="s">
        <v>343</v>
      </c>
      <c r="F53" s="12" t="s">
        <v>84</v>
      </c>
      <c r="G53" s="17" t="s">
        <v>74</v>
      </c>
      <c r="H53" s="20" t="s">
        <v>252</v>
      </c>
      <c r="I53" s="20" t="s">
        <v>199</v>
      </c>
      <c r="J53" s="17" t="s">
        <v>27</v>
      </c>
      <c r="K53" s="17" t="s">
        <v>344</v>
      </c>
      <c r="L53" s="12" t="s">
        <v>12</v>
      </c>
      <c r="M53" s="12" t="s">
        <v>97</v>
      </c>
      <c r="N53" s="18">
        <v>99.09</v>
      </c>
      <c r="O53" s="17">
        <v>2</v>
      </c>
      <c r="P53" s="5">
        <v>0.05</v>
      </c>
      <c r="Q53" s="18">
        <v>26.99</v>
      </c>
      <c r="R53" s="21" t="s">
        <v>79</v>
      </c>
    </row>
    <row r="54" spans="1:18" x14ac:dyDescent="0.35">
      <c r="A54" s="17" t="s">
        <v>345</v>
      </c>
      <c r="B54" s="17" t="s">
        <v>264</v>
      </c>
      <c r="C54" s="17" t="s">
        <v>346</v>
      </c>
      <c r="D54" s="12" t="s">
        <v>101</v>
      </c>
      <c r="E54" s="17" t="s">
        <v>347</v>
      </c>
      <c r="F54" s="12" t="s">
        <v>109</v>
      </c>
      <c r="G54" s="17" t="s">
        <v>74</v>
      </c>
      <c r="H54" s="20" t="s">
        <v>229</v>
      </c>
      <c r="I54" s="20" t="s">
        <v>230</v>
      </c>
      <c r="J54" s="17" t="s">
        <v>29</v>
      </c>
      <c r="K54" s="17" t="s">
        <v>348</v>
      </c>
      <c r="L54" s="12" t="s">
        <v>13</v>
      </c>
      <c r="M54" s="12" t="s">
        <v>214</v>
      </c>
      <c r="N54" s="18">
        <v>442.25</v>
      </c>
      <c r="O54" s="17">
        <v>2</v>
      </c>
      <c r="P54" s="22">
        <v>0.35</v>
      </c>
      <c r="Q54" s="23">
        <v>-79.069999999999993</v>
      </c>
      <c r="R54" s="24" t="s">
        <v>125</v>
      </c>
    </row>
    <row r="55" spans="1:18" x14ac:dyDescent="0.35">
      <c r="A55" s="17" t="s">
        <v>349</v>
      </c>
      <c r="B55" s="17" t="s">
        <v>279</v>
      </c>
      <c r="C55" s="17" t="s">
        <v>350</v>
      </c>
      <c r="D55" s="12" t="s">
        <v>92</v>
      </c>
      <c r="E55" s="17" t="s">
        <v>351</v>
      </c>
      <c r="F55" s="12" t="s">
        <v>73</v>
      </c>
      <c r="G55" s="17" t="s">
        <v>74</v>
      </c>
      <c r="H55" s="20" t="s">
        <v>275</v>
      </c>
      <c r="I55" s="20" t="s">
        <v>76</v>
      </c>
      <c r="J55" s="17" t="s">
        <v>23</v>
      </c>
      <c r="K55" s="17" t="s">
        <v>352</v>
      </c>
      <c r="L55" s="12" t="s">
        <v>11</v>
      </c>
      <c r="M55" s="12" t="s">
        <v>39</v>
      </c>
      <c r="N55" s="18">
        <v>409.69</v>
      </c>
      <c r="O55" s="17">
        <v>2</v>
      </c>
      <c r="P55" s="5">
        <v>0.1</v>
      </c>
      <c r="Q55" s="18">
        <v>153.27000000000001</v>
      </c>
      <c r="R55" s="21" t="s">
        <v>79</v>
      </c>
    </row>
    <row r="56" spans="1:18" x14ac:dyDescent="0.35">
      <c r="A56" s="17" t="s">
        <v>353</v>
      </c>
      <c r="B56" s="17" t="s">
        <v>354</v>
      </c>
      <c r="C56" s="17" t="s">
        <v>355</v>
      </c>
      <c r="D56" s="12" t="s">
        <v>71</v>
      </c>
      <c r="E56" s="17" t="s">
        <v>356</v>
      </c>
      <c r="F56" s="12" t="s">
        <v>109</v>
      </c>
      <c r="G56" s="17" t="s">
        <v>74</v>
      </c>
      <c r="H56" s="20" t="s">
        <v>275</v>
      </c>
      <c r="I56" s="20" t="s">
        <v>76</v>
      </c>
      <c r="J56" s="17" t="s">
        <v>23</v>
      </c>
      <c r="K56" s="17" t="s">
        <v>357</v>
      </c>
      <c r="L56" s="12" t="s">
        <v>13</v>
      </c>
      <c r="M56" s="12" t="s">
        <v>78</v>
      </c>
      <c r="N56" s="18">
        <v>131.69</v>
      </c>
      <c r="O56" s="17">
        <v>2</v>
      </c>
      <c r="P56" s="5">
        <v>0.2</v>
      </c>
      <c r="Q56" s="18">
        <v>19.62</v>
      </c>
      <c r="R56" s="21" t="s">
        <v>79</v>
      </c>
    </row>
    <row r="57" spans="1:18" x14ac:dyDescent="0.35">
      <c r="A57" s="17" t="s">
        <v>358</v>
      </c>
      <c r="B57" s="17" t="s">
        <v>359</v>
      </c>
      <c r="C57" s="17" t="s">
        <v>360</v>
      </c>
      <c r="D57" s="12" t="s">
        <v>71</v>
      </c>
      <c r="E57" s="17" t="s">
        <v>361</v>
      </c>
      <c r="F57" s="12" t="s">
        <v>84</v>
      </c>
      <c r="G57" s="17" t="s">
        <v>74</v>
      </c>
      <c r="H57" s="20" t="s">
        <v>143</v>
      </c>
      <c r="I57" s="20" t="s">
        <v>144</v>
      </c>
      <c r="J57" s="17" t="s">
        <v>27</v>
      </c>
      <c r="K57" s="17" t="s">
        <v>362</v>
      </c>
      <c r="L57" s="12" t="s">
        <v>13</v>
      </c>
      <c r="M57" s="12" t="s">
        <v>78</v>
      </c>
      <c r="N57" s="18">
        <v>57.85</v>
      </c>
      <c r="O57" s="17">
        <v>3</v>
      </c>
      <c r="P57" s="5">
        <v>0.1</v>
      </c>
      <c r="Q57" s="18">
        <v>10.210000000000001</v>
      </c>
      <c r="R57" s="21" t="s">
        <v>79</v>
      </c>
    </row>
    <row r="58" spans="1:18" x14ac:dyDescent="0.35">
      <c r="A58" s="17" t="s">
        <v>363</v>
      </c>
      <c r="B58" s="17" t="s">
        <v>364</v>
      </c>
      <c r="C58" s="17" t="s">
        <v>365</v>
      </c>
      <c r="D58" s="12" t="s">
        <v>92</v>
      </c>
      <c r="E58" s="17" t="s">
        <v>366</v>
      </c>
      <c r="F58" s="12" t="s">
        <v>84</v>
      </c>
      <c r="G58" s="17" t="s">
        <v>74</v>
      </c>
      <c r="H58" s="20" t="s">
        <v>75</v>
      </c>
      <c r="I58" s="20" t="s">
        <v>76</v>
      </c>
      <c r="J58" s="17" t="s">
        <v>23</v>
      </c>
      <c r="K58" s="17" t="s">
        <v>367</v>
      </c>
      <c r="L58" s="12" t="s">
        <v>12</v>
      </c>
      <c r="M58" s="12" t="s">
        <v>368</v>
      </c>
      <c r="N58" s="18">
        <v>41.34</v>
      </c>
      <c r="O58" s="17">
        <v>5</v>
      </c>
      <c r="P58" s="5">
        <v>0.1</v>
      </c>
      <c r="Q58" s="18">
        <v>11.36</v>
      </c>
      <c r="R58" s="21" t="s">
        <v>79</v>
      </c>
    </row>
    <row r="59" spans="1:18" x14ac:dyDescent="0.35">
      <c r="A59" s="17" t="s">
        <v>369</v>
      </c>
      <c r="B59" s="17" t="s">
        <v>370</v>
      </c>
      <c r="C59" s="17" t="s">
        <v>113</v>
      </c>
      <c r="D59" s="12" t="s">
        <v>71</v>
      </c>
      <c r="E59" s="17" t="s">
        <v>371</v>
      </c>
      <c r="F59" s="12" t="s">
        <v>73</v>
      </c>
      <c r="G59" s="17" t="s">
        <v>74</v>
      </c>
      <c r="H59" s="20" t="s">
        <v>162</v>
      </c>
      <c r="I59" s="20" t="s">
        <v>163</v>
      </c>
      <c r="J59" s="17" t="s">
        <v>25</v>
      </c>
      <c r="K59" s="17" t="s">
        <v>372</v>
      </c>
      <c r="L59" s="12" t="s">
        <v>12</v>
      </c>
      <c r="M59" s="12" t="s">
        <v>97</v>
      </c>
      <c r="N59" s="18">
        <v>422.49</v>
      </c>
      <c r="O59" s="17">
        <v>6</v>
      </c>
      <c r="P59" s="22">
        <v>0.3</v>
      </c>
      <c r="Q59" s="23">
        <v>-46.75</v>
      </c>
      <c r="R59" s="24" t="s">
        <v>125</v>
      </c>
    </row>
    <row r="60" spans="1:18" x14ac:dyDescent="0.35">
      <c r="A60" s="17" t="s">
        <v>373</v>
      </c>
      <c r="B60" s="17" t="s">
        <v>374</v>
      </c>
      <c r="C60" s="17" t="s">
        <v>375</v>
      </c>
      <c r="D60" s="12" t="s">
        <v>101</v>
      </c>
      <c r="E60" s="17" t="s">
        <v>376</v>
      </c>
      <c r="F60" s="12" t="s">
        <v>109</v>
      </c>
      <c r="G60" s="17" t="s">
        <v>74</v>
      </c>
      <c r="H60" s="20" t="s">
        <v>245</v>
      </c>
      <c r="I60" s="20" t="s">
        <v>246</v>
      </c>
      <c r="J60" s="17" t="s">
        <v>29</v>
      </c>
      <c r="K60" s="17" t="s">
        <v>377</v>
      </c>
      <c r="L60" s="12" t="s">
        <v>13</v>
      </c>
      <c r="M60" s="12" t="s">
        <v>214</v>
      </c>
      <c r="N60" s="18">
        <v>967.24</v>
      </c>
      <c r="O60" s="17">
        <v>4</v>
      </c>
      <c r="P60" s="5">
        <v>0.15</v>
      </c>
      <c r="Q60" s="18">
        <v>50.28</v>
      </c>
      <c r="R60" s="21" t="s">
        <v>79</v>
      </c>
    </row>
    <row r="61" spans="1:18" x14ac:dyDescent="0.35">
      <c r="A61" s="17" t="s">
        <v>378</v>
      </c>
      <c r="B61" s="17" t="s">
        <v>379</v>
      </c>
      <c r="C61" s="17" t="s">
        <v>380</v>
      </c>
      <c r="D61" s="12" t="s">
        <v>101</v>
      </c>
      <c r="E61" s="17" t="s">
        <v>381</v>
      </c>
      <c r="F61" s="12" t="s">
        <v>109</v>
      </c>
      <c r="G61" s="17" t="s">
        <v>74</v>
      </c>
      <c r="H61" s="20" t="s">
        <v>136</v>
      </c>
      <c r="I61" s="20" t="s">
        <v>137</v>
      </c>
      <c r="J61" s="17" t="s">
        <v>23</v>
      </c>
      <c r="K61" s="17" t="s">
        <v>382</v>
      </c>
      <c r="L61" s="12" t="s">
        <v>11</v>
      </c>
      <c r="M61" s="12" t="s">
        <v>104</v>
      </c>
      <c r="N61" s="18">
        <v>339.03</v>
      </c>
      <c r="O61" s="17">
        <v>5</v>
      </c>
      <c r="P61" s="22">
        <v>0.7</v>
      </c>
      <c r="Q61" s="23">
        <v>-84.85</v>
      </c>
      <c r="R61" s="24" t="s">
        <v>125</v>
      </c>
    </row>
    <row r="62" spans="1:18" x14ac:dyDescent="0.35">
      <c r="A62" s="17" t="s">
        <v>383</v>
      </c>
      <c r="B62" s="17" t="s">
        <v>384</v>
      </c>
      <c r="C62" s="17" t="s">
        <v>291</v>
      </c>
      <c r="D62" s="12" t="s">
        <v>167</v>
      </c>
      <c r="E62" s="17" t="s">
        <v>385</v>
      </c>
      <c r="F62" s="12" t="s">
        <v>109</v>
      </c>
      <c r="G62" s="17" t="s">
        <v>74</v>
      </c>
      <c r="H62" s="20" t="s">
        <v>136</v>
      </c>
      <c r="I62" s="20" t="s">
        <v>137</v>
      </c>
      <c r="J62" s="17" t="s">
        <v>23</v>
      </c>
      <c r="K62" s="17" t="s">
        <v>386</v>
      </c>
      <c r="L62" s="12" t="s">
        <v>13</v>
      </c>
      <c r="M62" s="12" t="s">
        <v>78</v>
      </c>
      <c r="N62" s="18">
        <v>57.68</v>
      </c>
      <c r="O62" s="17">
        <v>1</v>
      </c>
      <c r="P62" s="5">
        <v>0.1</v>
      </c>
      <c r="Q62" s="18">
        <v>6.59</v>
      </c>
      <c r="R62" s="21" t="s">
        <v>79</v>
      </c>
    </row>
    <row r="63" spans="1:18" x14ac:dyDescent="0.35">
      <c r="A63" s="17" t="s">
        <v>387</v>
      </c>
      <c r="B63" s="17" t="s">
        <v>388</v>
      </c>
      <c r="C63" s="17" t="s">
        <v>389</v>
      </c>
      <c r="D63" s="12" t="s">
        <v>71</v>
      </c>
      <c r="E63" s="17" t="s">
        <v>390</v>
      </c>
      <c r="F63" s="12" t="s">
        <v>73</v>
      </c>
      <c r="G63" s="17" t="s">
        <v>74</v>
      </c>
      <c r="H63" s="20" t="s">
        <v>229</v>
      </c>
      <c r="I63" s="20" t="s">
        <v>230</v>
      </c>
      <c r="J63" s="17" t="s">
        <v>29</v>
      </c>
      <c r="K63" s="17" t="s">
        <v>391</v>
      </c>
      <c r="L63" s="12" t="s">
        <v>11</v>
      </c>
      <c r="M63" s="12" t="s">
        <v>104</v>
      </c>
      <c r="N63" s="18">
        <v>1130.99</v>
      </c>
      <c r="O63" s="17">
        <v>8</v>
      </c>
      <c r="P63" s="22">
        <v>0.5</v>
      </c>
      <c r="Q63" s="23">
        <v>-191.12</v>
      </c>
      <c r="R63" s="24" t="s">
        <v>125</v>
      </c>
    </row>
    <row r="64" spans="1:18" x14ac:dyDescent="0.35">
      <c r="A64" s="17" t="s">
        <v>392</v>
      </c>
      <c r="B64" s="17" t="s">
        <v>393</v>
      </c>
      <c r="C64" s="17" t="s">
        <v>195</v>
      </c>
      <c r="D64" s="12" t="s">
        <v>101</v>
      </c>
      <c r="E64" s="17" t="s">
        <v>394</v>
      </c>
      <c r="F64" s="12" t="s">
        <v>109</v>
      </c>
      <c r="G64" s="17" t="s">
        <v>74</v>
      </c>
      <c r="H64" s="20" t="s">
        <v>252</v>
      </c>
      <c r="I64" s="20" t="s">
        <v>199</v>
      </c>
      <c r="J64" s="17" t="s">
        <v>27</v>
      </c>
      <c r="K64" s="17" t="s">
        <v>395</v>
      </c>
      <c r="L64" s="12" t="s">
        <v>12</v>
      </c>
      <c r="M64" s="12" t="s">
        <v>368</v>
      </c>
      <c r="N64" s="18">
        <v>72.489999999999995</v>
      </c>
      <c r="O64" s="17">
        <v>2</v>
      </c>
      <c r="P64" s="5">
        <v>0.1</v>
      </c>
      <c r="Q64" s="18">
        <v>18.55</v>
      </c>
      <c r="R64" s="21" t="s">
        <v>79</v>
      </c>
    </row>
    <row r="65" spans="1:18" x14ac:dyDescent="0.35">
      <c r="A65" s="17" t="s">
        <v>396</v>
      </c>
      <c r="B65" s="17" t="s">
        <v>397</v>
      </c>
      <c r="C65" s="17" t="s">
        <v>398</v>
      </c>
      <c r="D65" s="12" t="s">
        <v>167</v>
      </c>
      <c r="E65" s="17" t="s">
        <v>399</v>
      </c>
      <c r="F65" s="12" t="s">
        <v>84</v>
      </c>
      <c r="G65" s="17" t="s">
        <v>74</v>
      </c>
      <c r="H65" s="20" t="s">
        <v>143</v>
      </c>
      <c r="I65" s="20" t="s">
        <v>144</v>
      </c>
      <c r="J65" s="17" t="s">
        <v>27</v>
      </c>
      <c r="K65" s="17" t="s">
        <v>400</v>
      </c>
      <c r="L65" s="12" t="s">
        <v>12</v>
      </c>
      <c r="M65" s="12" t="s">
        <v>131</v>
      </c>
      <c r="N65" s="18">
        <v>179.08</v>
      </c>
      <c r="O65" s="17">
        <v>6</v>
      </c>
      <c r="P65" s="5">
        <v>0.2</v>
      </c>
      <c r="Q65" s="18">
        <v>36.6</v>
      </c>
      <c r="R65" s="21" t="s">
        <v>79</v>
      </c>
    </row>
    <row r="66" spans="1:18" x14ac:dyDescent="0.35">
      <c r="A66" s="17" t="s">
        <v>401</v>
      </c>
      <c r="B66" s="17" t="s">
        <v>260</v>
      </c>
      <c r="C66" s="17" t="s">
        <v>402</v>
      </c>
      <c r="D66" s="12" t="s">
        <v>92</v>
      </c>
      <c r="E66" s="17" t="s">
        <v>403</v>
      </c>
      <c r="F66" s="12" t="s">
        <v>109</v>
      </c>
      <c r="G66" s="17" t="s">
        <v>74</v>
      </c>
      <c r="H66" s="20" t="s">
        <v>136</v>
      </c>
      <c r="I66" s="20" t="s">
        <v>137</v>
      </c>
      <c r="J66" s="17" t="s">
        <v>23</v>
      </c>
      <c r="K66" s="17" t="s">
        <v>404</v>
      </c>
      <c r="L66" s="12" t="s">
        <v>11</v>
      </c>
      <c r="M66" s="12" t="s">
        <v>104</v>
      </c>
      <c r="N66" s="18">
        <v>1177.8699999999999</v>
      </c>
      <c r="O66" s="17">
        <v>8</v>
      </c>
      <c r="P66" s="22">
        <v>0.35</v>
      </c>
      <c r="Q66" s="23">
        <v>-485.61</v>
      </c>
      <c r="R66" s="24" t="s">
        <v>125</v>
      </c>
    </row>
    <row r="67" spans="1:18" x14ac:dyDescent="0.35">
      <c r="A67" s="17" t="s">
        <v>405</v>
      </c>
      <c r="B67" s="17" t="s">
        <v>406</v>
      </c>
      <c r="C67" s="17" t="s">
        <v>407</v>
      </c>
      <c r="D67" s="12" t="s">
        <v>167</v>
      </c>
      <c r="E67" s="17" t="s">
        <v>408</v>
      </c>
      <c r="F67" s="12" t="s">
        <v>73</v>
      </c>
      <c r="G67" s="17" t="s">
        <v>74</v>
      </c>
      <c r="H67" s="20" t="s">
        <v>75</v>
      </c>
      <c r="I67" s="20" t="s">
        <v>76</v>
      </c>
      <c r="J67" s="17" t="s">
        <v>23</v>
      </c>
      <c r="K67" s="17" t="s">
        <v>409</v>
      </c>
      <c r="L67" s="12" t="s">
        <v>12</v>
      </c>
      <c r="M67" s="12" t="s">
        <v>131</v>
      </c>
      <c r="N67" s="18">
        <v>191.27</v>
      </c>
      <c r="O67" s="17">
        <v>4</v>
      </c>
      <c r="P67" s="5">
        <v>0.1</v>
      </c>
      <c r="Q67" s="18">
        <v>27.91</v>
      </c>
      <c r="R67" s="21" t="s">
        <v>79</v>
      </c>
    </row>
    <row r="68" spans="1:18" x14ac:dyDescent="0.35">
      <c r="A68" s="17" t="s">
        <v>410</v>
      </c>
      <c r="B68" s="17" t="s">
        <v>411</v>
      </c>
      <c r="C68" s="17" t="s">
        <v>393</v>
      </c>
      <c r="D68" s="12" t="s">
        <v>101</v>
      </c>
      <c r="E68" s="17" t="s">
        <v>412</v>
      </c>
      <c r="F68" s="12" t="s">
        <v>73</v>
      </c>
      <c r="G68" s="17" t="s">
        <v>74</v>
      </c>
      <c r="H68" s="20" t="s">
        <v>229</v>
      </c>
      <c r="I68" s="20" t="s">
        <v>230</v>
      </c>
      <c r="J68" s="17" t="s">
        <v>29</v>
      </c>
      <c r="K68" s="17" t="s">
        <v>413</v>
      </c>
      <c r="L68" s="12" t="s">
        <v>13</v>
      </c>
      <c r="M68" s="12" t="s">
        <v>214</v>
      </c>
      <c r="N68" s="18">
        <v>883.17</v>
      </c>
      <c r="O68" s="17">
        <v>7</v>
      </c>
      <c r="P68" s="22">
        <v>0.25</v>
      </c>
      <c r="Q68" s="23">
        <v>-229.25</v>
      </c>
      <c r="R68" s="24" t="s">
        <v>125</v>
      </c>
    </row>
    <row r="69" spans="1:18" x14ac:dyDescent="0.35">
      <c r="A69" s="17" t="s">
        <v>414</v>
      </c>
      <c r="B69" s="17" t="s">
        <v>379</v>
      </c>
      <c r="C69" s="17" t="s">
        <v>380</v>
      </c>
      <c r="D69" s="12" t="s">
        <v>101</v>
      </c>
      <c r="E69" s="17" t="s">
        <v>415</v>
      </c>
      <c r="F69" s="12" t="s">
        <v>73</v>
      </c>
      <c r="G69" s="17" t="s">
        <v>74</v>
      </c>
      <c r="H69" s="20" t="s">
        <v>143</v>
      </c>
      <c r="I69" s="20" t="s">
        <v>144</v>
      </c>
      <c r="J69" s="17" t="s">
        <v>27</v>
      </c>
      <c r="K69" s="17" t="s">
        <v>416</v>
      </c>
      <c r="L69" s="12" t="s">
        <v>13</v>
      </c>
      <c r="M69" s="12" t="s">
        <v>417</v>
      </c>
      <c r="N69" s="18">
        <v>205.99</v>
      </c>
      <c r="O69" s="17">
        <v>2</v>
      </c>
      <c r="P69" s="5">
        <v>0.15</v>
      </c>
      <c r="Q69" s="18">
        <v>14.91</v>
      </c>
      <c r="R69" s="21" t="s">
        <v>79</v>
      </c>
    </row>
    <row r="70" spans="1:18" x14ac:dyDescent="0.35">
      <c r="A70" s="17" t="s">
        <v>418</v>
      </c>
      <c r="B70" s="17" t="s">
        <v>419</v>
      </c>
      <c r="C70" s="17" t="s">
        <v>420</v>
      </c>
      <c r="D70" s="12" t="s">
        <v>92</v>
      </c>
      <c r="E70" s="17" t="s">
        <v>421</v>
      </c>
      <c r="F70" s="12" t="s">
        <v>84</v>
      </c>
      <c r="G70" s="17" t="s">
        <v>74</v>
      </c>
      <c r="H70" s="20" t="s">
        <v>75</v>
      </c>
      <c r="I70" s="20" t="s">
        <v>76</v>
      </c>
      <c r="J70" s="17" t="s">
        <v>23</v>
      </c>
      <c r="K70" s="17" t="s">
        <v>422</v>
      </c>
      <c r="L70" s="12" t="s">
        <v>11</v>
      </c>
      <c r="M70" s="12" t="s">
        <v>41</v>
      </c>
      <c r="N70" s="18">
        <v>1748.92</v>
      </c>
      <c r="O70" s="17">
        <v>5</v>
      </c>
      <c r="P70" s="5">
        <v>0.15</v>
      </c>
      <c r="Q70" s="18">
        <v>621.74</v>
      </c>
      <c r="R70" s="21" t="s">
        <v>79</v>
      </c>
    </row>
    <row r="71" spans="1:18" x14ac:dyDescent="0.35">
      <c r="A71" s="17" t="s">
        <v>423</v>
      </c>
      <c r="B71" s="17" t="s">
        <v>365</v>
      </c>
      <c r="C71" s="17" t="s">
        <v>424</v>
      </c>
      <c r="D71" s="12" t="s">
        <v>167</v>
      </c>
      <c r="E71" s="17" t="s">
        <v>425</v>
      </c>
      <c r="F71" s="12" t="s">
        <v>73</v>
      </c>
      <c r="G71" s="17" t="s">
        <v>74</v>
      </c>
      <c r="H71" s="20" t="s">
        <v>75</v>
      </c>
      <c r="I71" s="20" t="s">
        <v>76</v>
      </c>
      <c r="J71" s="17" t="s">
        <v>23</v>
      </c>
      <c r="K71" s="17" t="s">
        <v>426</v>
      </c>
      <c r="L71" s="12" t="s">
        <v>13</v>
      </c>
      <c r="M71" s="12" t="s">
        <v>151</v>
      </c>
      <c r="N71" s="18">
        <v>209.87</v>
      </c>
      <c r="O71" s="17">
        <v>3</v>
      </c>
      <c r="P71" s="5">
        <v>0</v>
      </c>
      <c r="Q71" s="18">
        <v>52.64</v>
      </c>
      <c r="R71" s="21" t="s">
        <v>79</v>
      </c>
    </row>
    <row r="72" spans="1:18" x14ac:dyDescent="0.35">
      <c r="A72" s="17" t="s">
        <v>427</v>
      </c>
      <c r="B72" s="17" t="s">
        <v>179</v>
      </c>
      <c r="C72" s="17" t="s">
        <v>321</v>
      </c>
      <c r="D72" s="12" t="s">
        <v>92</v>
      </c>
      <c r="E72" s="17" t="s">
        <v>428</v>
      </c>
      <c r="F72" s="12" t="s">
        <v>109</v>
      </c>
      <c r="G72" s="17" t="s">
        <v>74</v>
      </c>
      <c r="H72" s="20" t="s">
        <v>75</v>
      </c>
      <c r="I72" s="20" t="s">
        <v>76</v>
      </c>
      <c r="J72" s="17" t="s">
        <v>23</v>
      </c>
      <c r="K72" s="17" t="s">
        <v>429</v>
      </c>
      <c r="L72" s="12" t="s">
        <v>13</v>
      </c>
      <c r="M72" s="12" t="s">
        <v>78</v>
      </c>
      <c r="N72" s="18">
        <v>141.79</v>
      </c>
      <c r="O72" s="17">
        <v>3</v>
      </c>
      <c r="P72" s="5">
        <v>0.1</v>
      </c>
      <c r="Q72" s="18">
        <v>26.99</v>
      </c>
      <c r="R72" s="21" t="s">
        <v>79</v>
      </c>
    </row>
    <row r="73" spans="1:18" x14ac:dyDescent="0.35">
      <c r="A73" s="17" t="s">
        <v>430</v>
      </c>
      <c r="B73" s="17" t="s">
        <v>431</v>
      </c>
      <c r="C73" s="17" t="s">
        <v>432</v>
      </c>
      <c r="D73" s="12" t="s">
        <v>101</v>
      </c>
      <c r="E73" s="17" t="s">
        <v>433</v>
      </c>
      <c r="F73" s="12" t="s">
        <v>109</v>
      </c>
      <c r="G73" s="17" t="s">
        <v>74</v>
      </c>
      <c r="H73" s="20" t="s">
        <v>122</v>
      </c>
      <c r="I73" s="20" t="s">
        <v>123</v>
      </c>
      <c r="J73" s="17" t="s">
        <v>25</v>
      </c>
      <c r="K73" s="17" t="s">
        <v>434</v>
      </c>
      <c r="L73" s="12" t="s">
        <v>11</v>
      </c>
      <c r="M73" s="12" t="s">
        <v>104</v>
      </c>
      <c r="N73" s="18">
        <v>1148.18</v>
      </c>
      <c r="O73" s="17">
        <v>8</v>
      </c>
      <c r="P73" s="22">
        <v>0.25</v>
      </c>
      <c r="Q73" s="23">
        <v>-319.2</v>
      </c>
      <c r="R73" s="24" t="s">
        <v>125</v>
      </c>
    </row>
    <row r="74" spans="1:18" x14ac:dyDescent="0.35">
      <c r="A74" s="17" t="s">
        <v>435</v>
      </c>
      <c r="B74" s="17" t="s">
        <v>436</v>
      </c>
      <c r="C74" s="17" t="s">
        <v>210</v>
      </c>
      <c r="D74" s="12" t="s">
        <v>71</v>
      </c>
      <c r="E74" s="17" t="s">
        <v>437</v>
      </c>
      <c r="F74" s="12" t="s">
        <v>109</v>
      </c>
      <c r="G74" s="17" t="s">
        <v>74</v>
      </c>
      <c r="H74" s="20" t="s">
        <v>155</v>
      </c>
      <c r="I74" s="20" t="s">
        <v>156</v>
      </c>
      <c r="J74" s="17" t="s">
        <v>25</v>
      </c>
      <c r="K74" s="17" t="s">
        <v>438</v>
      </c>
      <c r="L74" s="12" t="s">
        <v>12</v>
      </c>
      <c r="M74" s="12" t="s">
        <v>295</v>
      </c>
      <c r="N74" s="18">
        <v>136.31</v>
      </c>
      <c r="O74" s="17">
        <v>8</v>
      </c>
      <c r="P74" s="5">
        <v>0.2</v>
      </c>
      <c r="Q74" s="18">
        <v>28.4</v>
      </c>
      <c r="R74" s="21" t="s">
        <v>79</v>
      </c>
    </row>
    <row r="75" spans="1:18" x14ac:dyDescent="0.35">
      <c r="A75" s="17" t="s">
        <v>439</v>
      </c>
      <c r="B75" s="17" t="s">
        <v>440</v>
      </c>
      <c r="C75" s="17" t="s">
        <v>441</v>
      </c>
      <c r="D75" s="12" t="s">
        <v>92</v>
      </c>
      <c r="E75" s="17" t="s">
        <v>442</v>
      </c>
      <c r="F75" s="12" t="s">
        <v>73</v>
      </c>
      <c r="G75" s="17" t="s">
        <v>74</v>
      </c>
      <c r="H75" s="20" t="s">
        <v>191</v>
      </c>
      <c r="I75" s="20" t="s">
        <v>192</v>
      </c>
      <c r="J75" s="17" t="s">
        <v>23</v>
      </c>
      <c r="K75" s="17" t="s">
        <v>443</v>
      </c>
      <c r="L75" s="12" t="s">
        <v>13</v>
      </c>
      <c r="M75" s="12" t="s">
        <v>151</v>
      </c>
      <c r="N75" s="18">
        <v>17.21</v>
      </c>
      <c r="O75" s="17">
        <v>2</v>
      </c>
      <c r="P75" s="5">
        <v>0.1</v>
      </c>
      <c r="Q75" s="18">
        <v>4.26</v>
      </c>
      <c r="R75" s="21" t="s">
        <v>79</v>
      </c>
    </row>
    <row r="76" spans="1:18" x14ac:dyDescent="0.35">
      <c r="A76" s="17" t="s">
        <v>444</v>
      </c>
      <c r="B76" s="17" t="s">
        <v>233</v>
      </c>
      <c r="C76" s="17" t="s">
        <v>445</v>
      </c>
      <c r="D76" s="12" t="s">
        <v>71</v>
      </c>
      <c r="E76" s="17" t="s">
        <v>446</v>
      </c>
      <c r="F76" s="12" t="s">
        <v>73</v>
      </c>
      <c r="G76" s="17" t="s">
        <v>74</v>
      </c>
      <c r="H76" s="20" t="s">
        <v>155</v>
      </c>
      <c r="I76" s="20" t="s">
        <v>156</v>
      </c>
      <c r="J76" s="17" t="s">
        <v>25</v>
      </c>
      <c r="K76" s="17" t="s">
        <v>447</v>
      </c>
      <c r="L76" s="12" t="s">
        <v>11</v>
      </c>
      <c r="M76" s="12" t="s">
        <v>43</v>
      </c>
      <c r="N76" s="18">
        <v>294.02999999999997</v>
      </c>
      <c r="O76" s="17">
        <v>1</v>
      </c>
      <c r="P76" s="5">
        <v>0.1</v>
      </c>
      <c r="Q76" s="18">
        <v>55.96</v>
      </c>
      <c r="R76" s="21" t="s">
        <v>79</v>
      </c>
    </row>
    <row r="77" spans="1:18" x14ac:dyDescent="0.35">
      <c r="A77" s="17" t="s">
        <v>448</v>
      </c>
      <c r="B77" s="17" t="s">
        <v>449</v>
      </c>
      <c r="C77" s="17" t="s">
        <v>450</v>
      </c>
      <c r="D77" s="12" t="s">
        <v>92</v>
      </c>
      <c r="E77" s="17" t="s">
        <v>451</v>
      </c>
      <c r="F77" s="12" t="s">
        <v>109</v>
      </c>
      <c r="G77" s="17" t="s">
        <v>74</v>
      </c>
      <c r="H77" s="20" t="s">
        <v>136</v>
      </c>
      <c r="I77" s="20" t="s">
        <v>137</v>
      </c>
      <c r="J77" s="17" t="s">
        <v>23</v>
      </c>
      <c r="K77" s="17" t="s">
        <v>452</v>
      </c>
      <c r="L77" s="12" t="s">
        <v>13</v>
      </c>
      <c r="M77" s="12" t="s">
        <v>214</v>
      </c>
      <c r="N77" s="18">
        <v>858.11</v>
      </c>
      <c r="O77" s="17">
        <v>4</v>
      </c>
      <c r="P77" s="22">
        <v>0.25</v>
      </c>
      <c r="Q77" s="23">
        <v>-152.41999999999999</v>
      </c>
      <c r="R77" s="24" t="s">
        <v>125</v>
      </c>
    </row>
    <row r="78" spans="1:18" x14ac:dyDescent="0.35">
      <c r="A78" s="17" t="s">
        <v>453</v>
      </c>
      <c r="B78" s="17" t="s">
        <v>454</v>
      </c>
      <c r="C78" s="17" t="s">
        <v>342</v>
      </c>
      <c r="D78" s="12" t="s">
        <v>167</v>
      </c>
      <c r="E78" s="17" t="s">
        <v>455</v>
      </c>
      <c r="F78" s="12" t="s">
        <v>109</v>
      </c>
      <c r="G78" s="17" t="s">
        <v>74</v>
      </c>
      <c r="H78" s="20" t="s">
        <v>198</v>
      </c>
      <c r="I78" s="20" t="s">
        <v>199</v>
      </c>
      <c r="J78" s="17" t="s">
        <v>27</v>
      </c>
      <c r="K78" s="17" t="s">
        <v>456</v>
      </c>
      <c r="L78" s="12" t="s">
        <v>12</v>
      </c>
      <c r="M78" s="12" t="s">
        <v>47</v>
      </c>
      <c r="N78" s="18">
        <v>194.65</v>
      </c>
      <c r="O78" s="17">
        <v>3</v>
      </c>
      <c r="P78" s="22">
        <v>0.3</v>
      </c>
      <c r="Q78" s="23">
        <v>-45.05</v>
      </c>
      <c r="R78" s="24" t="s">
        <v>125</v>
      </c>
    </row>
    <row r="79" spans="1:18" x14ac:dyDescent="0.35">
      <c r="A79" s="17" t="s">
        <v>457</v>
      </c>
      <c r="B79" s="17" t="s">
        <v>458</v>
      </c>
      <c r="C79" s="17" t="s">
        <v>374</v>
      </c>
      <c r="D79" s="12" t="s">
        <v>92</v>
      </c>
      <c r="E79" s="17" t="s">
        <v>459</v>
      </c>
      <c r="F79" s="12" t="s">
        <v>73</v>
      </c>
      <c r="G79" s="17" t="s">
        <v>74</v>
      </c>
      <c r="H79" s="20" t="s">
        <v>229</v>
      </c>
      <c r="I79" s="20" t="s">
        <v>230</v>
      </c>
      <c r="J79" s="17" t="s">
        <v>29</v>
      </c>
      <c r="K79" s="17" t="s">
        <v>460</v>
      </c>
      <c r="L79" s="12" t="s">
        <v>13</v>
      </c>
      <c r="M79" s="12" t="s">
        <v>151</v>
      </c>
      <c r="N79" s="18">
        <v>216.01</v>
      </c>
      <c r="O79" s="17">
        <v>1</v>
      </c>
      <c r="P79" s="5">
        <v>0.1</v>
      </c>
      <c r="Q79" s="18">
        <v>50.76</v>
      </c>
      <c r="R79" s="21" t="s">
        <v>79</v>
      </c>
    </row>
    <row r="80" spans="1:18" x14ac:dyDescent="0.35">
      <c r="A80" s="17" t="s">
        <v>461</v>
      </c>
      <c r="B80" s="17" t="s">
        <v>462</v>
      </c>
      <c r="C80" s="17" t="s">
        <v>440</v>
      </c>
      <c r="D80" s="12" t="s">
        <v>101</v>
      </c>
      <c r="E80" s="17" t="s">
        <v>463</v>
      </c>
      <c r="F80" s="12" t="s">
        <v>73</v>
      </c>
      <c r="G80" s="17" t="s">
        <v>74</v>
      </c>
      <c r="H80" s="20" t="s">
        <v>162</v>
      </c>
      <c r="I80" s="20" t="s">
        <v>163</v>
      </c>
      <c r="J80" s="17" t="s">
        <v>25</v>
      </c>
      <c r="K80" s="17" t="s">
        <v>464</v>
      </c>
      <c r="L80" s="12" t="s">
        <v>13</v>
      </c>
      <c r="M80" s="12" t="s">
        <v>417</v>
      </c>
      <c r="N80" s="18">
        <v>294.64999999999998</v>
      </c>
      <c r="O80" s="17">
        <v>2</v>
      </c>
      <c r="P80" s="22">
        <v>0.25</v>
      </c>
      <c r="Q80" s="23">
        <v>-78.81</v>
      </c>
      <c r="R80" s="24" t="s">
        <v>125</v>
      </c>
    </row>
    <row r="81" spans="1:18" x14ac:dyDescent="0.35">
      <c r="A81" s="17" t="s">
        <v>465</v>
      </c>
      <c r="B81" s="17" t="s">
        <v>106</v>
      </c>
      <c r="C81" s="17" t="s">
        <v>107</v>
      </c>
      <c r="D81" s="12" t="s">
        <v>92</v>
      </c>
      <c r="E81" s="17" t="s">
        <v>466</v>
      </c>
      <c r="F81" s="12" t="s">
        <v>109</v>
      </c>
      <c r="G81" s="17" t="s">
        <v>74</v>
      </c>
      <c r="H81" s="20" t="s">
        <v>174</v>
      </c>
      <c r="I81" s="20" t="s">
        <v>175</v>
      </c>
      <c r="J81" s="17" t="s">
        <v>27</v>
      </c>
      <c r="K81" s="17" t="s">
        <v>467</v>
      </c>
      <c r="L81" s="12" t="s">
        <v>12</v>
      </c>
      <c r="M81" s="12" t="s">
        <v>240</v>
      </c>
      <c r="N81" s="18">
        <v>177.53</v>
      </c>
      <c r="O81" s="17">
        <v>2</v>
      </c>
      <c r="P81" s="5">
        <v>0</v>
      </c>
      <c r="Q81" s="18">
        <v>18.71</v>
      </c>
      <c r="R81" s="21" t="s">
        <v>79</v>
      </c>
    </row>
    <row r="82" spans="1:18" x14ac:dyDescent="0.35">
      <c r="A82" s="17" t="s">
        <v>468</v>
      </c>
      <c r="B82" s="17" t="s">
        <v>469</v>
      </c>
      <c r="C82" s="17" t="s">
        <v>470</v>
      </c>
      <c r="D82" s="12" t="s">
        <v>101</v>
      </c>
      <c r="E82" s="17" t="s">
        <v>471</v>
      </c>
      <c r="F82" s="12" t="s">
        <v>109</v>
      </c>
      <c r="G82" s="17" t="s">
        <v>74</v>
      </c>
      <c r="H82" s="20" t="s">
        <v>229</v>
      </c>
      <c r="I82" s="20" t="s">
        <v>230</v>
      </c>
      <c r="J82" s="17" t="s">
        <v>29</v>
      </c>
      <c r="K82" s="17" t="s">
        <v>472</v>
      </c>
      <c r="L82" s="12" t="s">
        <v>11</v>
      </c>
      <c r="M82" s="12" t="s">
        <v>39</v>
      </c>
      <c r="N82" s="18">
        <v>823.77</v>
      </c>
      <c r="O82" s="17">
        <v>2</v>
      </c>
      <c r="P82" s="5">
        <v>0.1</v>
      </c>
      <c r="Q82" s="18">
        <v>216.7</v>
      </c>
      <c r="R82" s="21" t="s">
        <v>79</v>
      </c>
    </row>
    <row r="83" spans="1:18" x14ac:dyDescent="0.35">
      <c r="A83" s="17" t="s">
        <v>473</v>
      </c>
      <c r="B83" s="17" t="s">
        <v>470</v>
      </c>
      <c r="C83" s="17" t="s">
        <v>474</v>
      </c>
      <c r="D83" s="12" t="s">
        <v>71</v>
      </c>
      <c r="E83" s="17" t="s">
        <v>475</v>
      </c>
      <c r="F83" s="12" t="s">
        <v>109</v>
      </c>
      <c r="G83" s="17" t="s">
        <v>74</v>
      </c>
      <c r="H83" s="20" t="s">
        <v>143</v>
      </c>
      <c r="I83" s="20" t="s">
        <v>144</v>
      </c>
      <c r="J83" s="17" t="s">
        <v>27</v>
      </c>
      <c r="K83" s="17" t="s">
        <v>476</v>
      </c>
      <c r="L83" s="12" t="s">
        <v>11</v>
      </c>
      <c r="M83" s="12" t="s">
        <v>39</v>
      </c>
      <c r="N83" s="18">
        <v>1484.27</v>
      </c>
      <c r="O83" s="17">
        <v>1</v>
      </c>
      <c r="P83" s="5">
        <v>0</v>
      </c>
      <c r="Q83" s="18">
        <v>419.31</v>
      </c>
      <c r="R83" s="21" t="s">
        <v>79</v>
      </c>
    </row>
    <row r="84" spans="1:18" x14ac:dyDescent="0.35">
      <c r="A84" s="17" t="s">
        <v>477</v>
      </c>
      <c r="B84" s="17" t="s">
        <v>478</v>
      </c>
      <c r="C84" s="17" t="s">
        <v>479</v>
      </c>
      <c r="D84" s="12" t="s">
        <v>167</v>
      </c>
      <c r="E84" s="17" t="s">
        <v>480</v>
      </c>
      <c r="F84" s="12" t="s">
        <v>109</v>
      </c>
      <c r="G84" s="17" t="s">
        <v>74</v>
      </c>
      <c r="H84" s="20" t="s">
        <v>155</v>
      </c>
      <c r="I84" s="20" t="s">
        <v>156</v>
      </c>
      <c r="J84" s="17" t="s">
        <v>25</v>
      </c>
      <c r="K84" s="17" t="s">
        <v>481</v>
      </c>
      <c r="L84" s="12" t="s">
        <v>12</v>
      </c>
      <c r="M84" s="12" t="s">
        <v>131</v>
      </c>
      <c r="N84" s="18">
        <v>197.62</v>
      </c>
      <c r="O84" s="17">
        <v>2</v>
      </c>
      <c r="P84" s="5">
        <v>0</v>
      </c>
      <c r="Q84" s="18">
        <v>44.16</v>
      </c>
      <c r="R84" s="21" t="s">
        <v>79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4"/>
  <sheetViews>
    <sheetView tabSelected="1" topLeftCell="B1" workbookViewId="0">
      <selection activeCell="G9" sqref="G9"/>
    </sheetView>
  </sheetViews>
  <sheetFormatPr defaultRowHeight="14.5" x14ac:dyDescent="0.35"/>
  <cols>
    <col min="1" max="1" width="82" customWidth="1"/>
    <col min="2" max="3" width="13" customWidth="1"/>
    <col min="4" max="4" width="17" customWidth="1"/>
    <col min="5" max="6" width="14" customWidth="1"/>
    <col min="7" max="8" width="16" customWidth="1"/>
    <col min="9" max="9" width="17" customWidth="1"/>
    <col min="10" max="10" width="13" customWidth="1"/>
    <col min="11" max="11" width="14" customWidth="1"/>
    <col min="12" max="12" width="18" customWidth="1"/>
    <col min="13" max="13" width="15" customWidth="1"/>
    <col min="14" max="17" width="13" customWidth="1"/>
  </cols>
  <sheetData>
    <row r="1" spans="1:17" ht="34" customHeight="1" x14ac:dyDescent="0.35">
      <c r="A1" s="31" t="s">
        <v>482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20" customHeight="1" x14ac:dyDescent="0.35">
      <c r="A2" s="28" t="s">
        <v>483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4" spans="1:17" ht="24" customHeight="1" x14ac:dyDescent="0.35">
      <c r="A4" s="25" t="s">
        <v>52</v>
      </c>
      <c r="B4" s="25" t="s">
        <v>53</v>
      </c>
      <c r="C4" s="25" t="s">
        <v>54</v>
      </c>
      <c r="D4" s="25" t="s">
        <v>55</v>
      </c>
      <c r="E4" s="25" t="s">
        <v>56</v>
      </c>
      <c r="F4" s="25" t="s">
        <v>57</v>
      </c>
      <c r="G4" s="25" t="s">
        <v>58</v>
      </c>
      <c r="H4" s="25" t="s">
        <v>59</v>
      </c>
      <c r="I4" s="25" t="s">
        <v>60</v>
      </c>
      <c r="J4" s="25" t="s">
        <v>61</v>
      </c>
      <c r="K4" s="25" t="s">
        <v>62</v>
      </c>
      <c r="L4" s="25" t="s">
        <v>7</v>
      </c>
      <c r="M4" s="25" t="s">
        <v>37</v>
      </c>
      <c r="N4" s="25" t="s">
        <v>63</v>
      </c>
      <c r="O4" s="25" t="s">
        <v>64</v>
      </c>
      <c r="P4" s="25" t="s">
        <v>65</v>
      </c>
      <c r="Q4" s="25" t="s">
        <v>66</v>
      </c>
    </row>
    <row r="5" spans="1:17" x14ac:dyDescent="0.35">
      <c r="A5" s="17" t="s">
        <v>315</v>
      </c>
      <c r="B5" s="17" t="s">
        <v>316</v>
      </c>
      <c r="C5" s="17" t="s">
        <v>317</v>
      </c>
      <c r="D5" s="20" t="s">
        <v>167</v>
      </c>
      <c r="E5" s="17" t="s">
        <v>318</v>
      </c>
      <c r="F5" s="20" t="s">
        <v>109</v>
      </c>
      <c r="G5" s="17" t="s">
        <v>74</v>
      </c>
      <c r="H5" s="20" t="s">
        <v>136</v>
      </c>
      <c r="I5" s="20" t="s">
        <v>137</v>
      </c>
      <c r="J5" s="17" t="s">
        <v>23</v>
      </c>
      <c r="K5" s="17" t="s">
        <v>319</v>
      </c>
      <c r="L5" s="20" t="s">
        <v>12</v>
      </c>
      <c r="M5" s="20" t="s">
        <v>88</v>
      </c>
      <c r="N5" s="18">
        <v>113.4</v>
      </c>
      <c r="O5" s="20">
        <v>2</v>
      </c>
      <c r="P5" s="5">
        <v>0</v>
      </c>
      <c r="Q5" s="18">
        <v>11.76</v>
      </c>
    </row>
    <row r="6" spans="1:17" x14ac:dyDescent="0.35">
      <c r="A6" s="17" t="s">
        <v>310</v>
      </c>
      <c r="B6" s="17" t="s">
        <v>311</v>
      </c>
      <c r="C6" s="17" t="s">
        <v>312</v>
      </c>
      <c r="D6" s="20" t="s">
        <v>167</v>
      </c>
      <c r="E6" s="17" t="s">
        <v>313</v>
      </c>
      <c r="F6" s="20" t="s">
        <v>73</v>
      </c>
      <c r="G6" s="17" t="s">
        <v>74</v>
      </c>
      <c r="H6" s="20" t="s">
        <v>229</v>
      </c>
      <c r="I6" s="20" t="s">
        <v>230</v>
      </c>
      <c r="J6" s="17" t="s">
        <v>29</v>
      </c>
      <c r="K6" s="17" t="s">
        <v>314</v>
      </c>
      <c r="L6" s="20" t="s">
        <v>12</v>
      </c>
      <c r="M6" s="20" t="s">
        <v>131</v>
      </c>
      <c r="N6" s="18">
        <v>109.2</v>
      </c>
      <c r="O6" s="20">
        <v>2</v>
      </c>
      <c r="P6" s="5">
        <v>0.1</v>
      </c>
      <c r="Q6" s="18">
        <v>18.53</v>
      </c>
    </row>
    <row r="7" spans="1:17" x14ac:dyDescent="0.35">
      <c r="A7" s="17" t="s">
        <v>272</v>
      </c>
      <c r="B7" s="17" t="s">
        <v>120</v>
      </c>
      <c r="C7" s="17" t="s">
        <v>273</v>
      </c>
      <c r="D7" s="20" t="s">
        <v>92</v>
      </c>
      <c r="E7" s="17" t="s">
        <v>274</v>
      </c>
      <c r="F7" s="20" t="s">
        <v>84</v>
      </c>
      <c r="G7" s="17" t="s">
        <v>74</v>
      </c>
      <c r="H7" s="20" t="s">
        <v>275</v>
      </c>
      <c r="I7" s="20" t="s">
        <v>76</v>
      </c>
      <c r="J7" s="17" t="s">
        <v>23</v>
      </c>
      <c r="K7" s="17" t="s">
        <v>484</v>
      </c>
      <c r="L7" s="20" t="s">
        <v>12</v>
      </c>
      <c r="M7" s="20" t="s">
        <v>368</v>
      </c>
      <c r="N7" s="18">
        <v>399.22</v>
      </c>
      <c r="O7" s="20">
        <v>2</v>
      </c>
      <c r="P7" s="5">
        <v>0</v>
      </c>
      <c r="Q7" s="18">
        <v>99.81</v>
      </c>
    </row>
    <row r="8" spans="1:17" x14ac:dyDescent="0.35">
      <c r="A8" s="17" t="s">
        <v>139</v>
      </c>
      <c r="B8" s="17" t="s">
        <v>140</v>
      </c>
      <c r="C8" s="17" t="s">
        <v>141</v>
      </c>
      <c r="D8" s="20" t="s">
        <v>71</v>
      </c>
      <c r="E8" s="17" t="s">
        <v>142</v>
      </c>
      <c r="F8" s="20" t="s">
        <v>84</v>
      </c>
      <c r="G8" s="17" t="s">
        <v>74</v>
      </c>
      <c r="H8" s="20" t="s">
        <v>143</v>
      </c>
      <c r="I8" s="20" t="s">
        <v>144</v>
      </c>
      <c r="J8" s="17" t="s">
        <v>27</v>
      </c>
      <c r="K8" s="17" t="s">
        <v>145</v>
      </c>
      <c r="L8" s="20" t="s">
        <v>13</v>
      </c>
      <c r="M8" s="20" t="s">
        <v>78</v>
      </c>
      <c r="N8" s="18">
        <v>93.57</v>
      </c>
      <c r="O8" s="20">
        <v>6</v>
      </c>
      <c r="P8" s="5">
        <v>0</v>
      </c>
      <c r="Q8" s="18">
        <v>14.21</v>
      </c>
    </row>
    <row r="9" spans="1:17" x14ac:dyDescent="0.35">
      <c r="A9" s="17" t="s">
        <v>418</v>
      </c>
      <c r="B9" s="17" t="s">
        <v>419</v>
      </c>
      <c r="C9" s="17" t="s">
        <v>420</v>
      </c>
      <c r="D9" s="20" t="s">
        <v>92</v>
      </c>
      <c r="E9" s="17" t="s">
        <v>421</v>
      </c>
      <c r="F9" s="20" t="s">
        <v>84</v>
      </c>
      <c r="G9" s="17" t="s">
        <v>74</v>
      </c>
      <c r="H9" s="20" t="s">
        <v>75</v>
      </c>
      <c r="I9" s="20" t="s">
        <v>76</v>
      </c>
      <c r="J9" s="17" t="s">
        <v>23</v>
      </c>
      <c r="K9" s="17" t="s">
        <v>422</v>
      </c>
      <c r="L9" s="20" t="s">
        <v>11</v>
      </c>
      <c r="M9" s="20" t="s">
        <v>41</v>
      </c>
      <c r="N9" s="18">
        <v>1748.92</v>
      </c>
      <c r="O9" s="20">
        <v>5</v>
      </c>
      <c r="P9" s="5">
        <v>0.15</v>
      </c>
      <c r="Q9" s="18">
        <v>621.74</v>
      </c>
    </row>
    <row r="10" spans="1:17" x14ac:dyDescent="0.35">
      <c r="A10" s="17" t="s">
        <v>349</v>
      </c>
      <c r="B10" s="17" t="s">
        <v>279</v>
      </c>
      <c r="C10" s="17" t="s">
        <v>350</v>
      </c>
      <c r="D10" s="20" t="s">
        <v>92</v>
      </c>
      <c r="E10" s="17" t="s">
        <v>351</v>
      </c>
      <c r="F10" s="20" t="s">
        <v>73</v>
      </c>
      <c r="G10" s="17" t="s">
        <v>74</v>
      </c>
      <c r="H10" s="20" t="s">
        <v>275</v>
      </c>
      <c r="I10" s="20" t="s">
        <v>76</v>
      </c>
      <c r="J10" s="17" t="s">
        <v>23</v>
      </c>
      <c r="K10" s="17" t="s">
        <v>352</v>
      </c>
      <c r="L10" s="20" t="s">
        <v>11</v>
      </c>
      <c r="M10" s="20" t="s">
        <v>39</v>
      </c>
      <c r="N10" s="18">
        <v>409.69</v>
      </c>
      <c r="O10" s="20">
        <v>2</v>
      </c>
      <c r="P10" s="5">
        <v>0.1</v>
      </c>
      <c r="Q10" s="18">
        <v>153.27000000000001</v>
      </c>
    </row>
    <row r="11" spans="1:17" x14ac:dyDescent="0.35">
      <c r="A11" s="17" t="s">
        <v>80</v>
      </c>
      <c r="B11" s="17" t="s">
        <v>81</v>
      </c>
      <c r="C11" s="17" t="s">
        <v>82</v>
      </c>
      <c r="D11" s="20" t="s">
        <v>71</v>
      </c>
      <c r="E11" s="17" t="s">
        <v>83</v>
      </c>
      <c r="F11" s="20" t="s">
        <v>84</v>
      </c>
      <c r="G11" s="17" t="s">
        <v>74</v>
      </c>
      <c r="H11" s="20" t="s">
        <v>85</v>
      </c>
      <c r="I11" s="20" t="s">
        <v>86</v>
      </c>
      <c r="J11" s="17" t="s">
        <v>25</v>
      </c>
      <c r="K11" s="17" t="s">
        <v>87</v>
      </c>
      <c r="L11" s="20" t="s">
        <v>12</v>
      </c>
      <c r="M11" s="20" t="s">
        <v>88</v>
      </c>
      <c r="N11" s="18">
        <v>125.85</v>
      </c>
      <c r="O11" s="20">
        <v>4</v>
      </c>
      <c r="P11" s="5">
        <v>0.1</v>
      </c>
      <c r="Q11" s="18">
        <v>17.989999999999998</v>
      </c>
    </row>
    <row r="12" spans="1:17" x14ac:dyDescent="0.35">
      <c r="A12" s="17" t="s">
        <v>439</v>
      </c>
      <c r="B12" s="17" t="s">
        <v>440</v>
      </c>
      <c r="C12" s="17" t="s">
        <v>441</v>
      </c>
      <c r="D12" s="20" t="s">
        <v>92</v>
      </c>
      <c r="E12" s="17" t="s">
        <v>442</v>
      </c>
      <c r="F12" s="20" t="s">
        <v>73</v>
      </c>
      <c r="G12" s="17" t="s">
        <v>74</v>
      </c>
      <c r="H12" s="20" t="s">
        <v>191</v>
      </c>
      <c r="I12" s="20" t="s">
        <v>192</v>
      </c>
      <c r="J12" s="17" t="s">
        <v>23</v>
      </c>
      <c r="K12" s="17" t="s">
        <v>443</v>
      </c>
      <c r="L12" s="20" t="s">
        <v>13</v>
      </c>
      <c r="M12" s="20" t="s">
        <v>151</v>
      </c>
      <c r="N12" s="18">
        <v>17.21</v>
      </c>
      <c r="O12" s="20">
        <v>2</v>
      </c>
      <c r="P12" s="5">
        <v>0.1</v>
      </c>
      <c r="Q12" s="18">
        <v>4.26</v>
      </c>
    </row>
    <row r="13" spans="1:17" x14ac:dyDescent="0.35">
      <c r="A13" s="17" t="s">
        <v>177</v>
      </c>
      <c r="B13" s="17" t="s">
        <v>178</v>
      </c>
      <c r="C13" s="17" t="s">
        <v>179</v>
      </c>
      <c r="D13" s="20" t="s">
        <v>167</v>
      </c>
      <c r="E13" s="17" t="s">
        <v>180</v>
      </c>
      <c r="F13" s="20" t="s">
        <v>73</v>
      </c>
      <c r="G13" s="17" t="s">
        <v>74</v>
      </c>
      <c r="H13" s="20" t="s">
        <v>75</v>
      </c>
      <c r="I13" s="20" t="s">
        <v>76</v>
      </c>
      <c r="J13" s="17" t="s">
        <v>23</v>
      </c>
      <c r="K13" s="17" t="s">
        <v>181</v>
      </c>
      <c r="L13" s="20" t="s">
        <v>12</v>
      </c>
      <c r="M13" s="20" t="s">
        <v>97</v>
      </c>
      <c r="N13" s="18">
        <v>442.55</v>
      </c>
      <c r="O13" s="20">
        <v>2</v>
      </c>
      <c r="P13" s="5">
        <v>0.05</v>
      </c>
      <c r="Q13" s="18">
        <v>124.02</v>
      </c>
    </row>
    <row r="14" spans="1:17" x14ac:dyDescent="0.35">
      <c r="A14" s="17" t="s">
        <v>473</v>
      </c>
      <c r="B14" s="17" t="s">
        <v>470</v>
      </c>
      <c r="C14" s="17" t="s">
        <v>474</v>
      </c>
      <c r="D14" s="20" t="s">
        <v>71</v>
      </c>
      <c r="E14" s="17" t="s">
        <v>475</v>
      </c>
      <c r="F14" s="20" t="s">
        <v>109</v>
      </c>
      <c r="G14" s="17" t="s">
        <v>74</v>
      </c>
      <c r="H14" s="20" t="s">
        <v>143</v>
      </c>
      <c r="I14" s="20" t="s">
        <v>144</v>
      </c>
      <c r="J14" s="17" t="s">
        <v>27</v>
      </c>
      <c r="K14" s="17" t="s">
        <v>476</v>
      </c>
      <c r="L14" s="20" t="s">
        <v>11</v>
      </c>
      <c r="M14" s="20" t="s">
        <v>39</v>
      </c>
      <c r="N14" s="18">
        <v>1484.27</v>
      </c>
      <c r="O14" s="20">
        <v>1</v>
      </c>
      <c r="P14" s="5">
        <v>0</v>
      </c>
      <c r="Q14" s="18">
        <v>419.31</v>
      </c>
    </row>
    <row r="15" spans="1:17" x14ac:dyDescent="0.35">
      <c r="A15" s="17" t="s">
        <v>453</v>
      </c>
      <c r="B15" s="17" t="s">
        <v>454</v>
      </c>
      <c r="C15" s="17" t="s">
        <v>342</v>
      </c>
      <c r="D15" s="20" t="s">
        <v>167</v>
      </c>
      <c r="E15" s="17" t="s">
        <v>455</v>
      </c>
      <c r="F15" s="20" t="s">
        <v>109</v>
      </c>
      <c r="G15" s="17" t="s">
        <v>74</v>
      </c>
      <c r="H15" s="20" t="s">
        <v>198</v>
      </c>
      <c r="I15" s="20" t="s">
        <v>199</v>
      </c>
      <c r="J15" s="17" t="s">
        <v>27</v>
      </c>
      <c r="K15" s="17" t="s">
        <v>456</v>
      </c>
      <c r="L15" s="20" t="s">
        <v>12</v>
      </c>
      <c r="M15" s="20" t="s">
        <v>47</v>
      </c>
      <c r="N15" s="18">
        <v>194.65</v>
      </c>
      <c r="O15" s="20">
        <v>3</v>
      </c>
      <c r="P15" s="5">
        <v>0.3</v>
      </c>
      <c r="Q15" s="18">
        <v>-45.05</v>
      </c>
    </row>
    <row r="16" spans="1:17" x14ac:dyDescent="0.35">
      <c r="A16" s="17" t="s">
        <v>146</v>
      </c>
      <c r="B16" s="17" t="s">
        <v>147</v>
      </c>
      <c r="C16" s="17" t="s">
        <v>148</v>
      </c>
      <c r="D16" s="20" t="s">
        <v>101</v>
      </c>
      <c r="E16" s="17" t="s">
        <v>149</v>
      </c>
      <c r="F16" s="20" t="s">
        <v>73</v>
      </c>
      <c r="G16" s="17" t="s">
        <v>74</v>
      </c>
      <c r="H16" s="20" t="s">
        <v>75</v>
      </c>
      <c r="I16" s="20" t="s">
        <v>76</v>
      </c>
      <c r="J16" s="17" t="s">
        <v>23</v>
      </c>
      <c r="K16" s="17" t="s">
        <v>150</v>
      </c>
      <c r="L16" s="20" t="s">
        <v>13</v>
      </c>
      <c r="M16" s="20" t="s">
        <v>151</v>
      </c>
      <c r="N16" s="18">
        <v>171.26</v>
      </c>
      <c r="O16" s="20">
        <v>3</v>
      </c>
      <c r="P16" s="5">
        <v>0</v>
      </c>
      <c r="Q16" s="18">
        <v>27.68</v>
      </c>
    </row>
    <row r="17" spans="1:17" x14ac:dyDescent="0.35">
      <c r="A17" s="17" t="s">
        <v>373</v>
      </c>
      <c r="B17" s="17" t="s">
        <v>374</v>
      </c>
      <c r="C17" s="17" t="s">
        <v>375</v>
      </c>
      <c r="D17" s="20" t="s">
        <v>101</v>
      </c>
      <c r="E17" s="17" t="s">
        <v>376</v>
      </c>
      <c r="F17" s="20" t="s">
        <v>109</v>
      </c>
      <c r="G17" s="17" t="s">
        <v>74</v>
      </c>
      <c r="H17" s="20" t="s">
        <v>245</v>
      </c>
      <c r="I17" s="20" t="s">
        <v>246</v>
      </c>
      <c r="J17" s="17" t="s">
        <v>29</v>
      </c>
      <c r="K17" s="17" t="s">
        <v>377</v>
      </c>
      <c r="L17" s="20" t="s">
        <v>13</v>
      </c>
      <c r="M17" s="20" t="s">
        <v>214</v>
      </c>
      <c r="N17" s="18">
        <v>967.24</v>
      </c>
      <c r="O17" s="20">
        <v>4</v>
      </c>
      <c r="P17" s="5">
        <v>0.15</v>
      </c>
      <c r="Q17" s="18">
        <v>50.28</v>
      </c>
    </row>
    <row r="18" spans="1:17" x14ac:dyDescent="0.35">
      <c r="A18" s="17" t="s">
        <v>378</v>
      </c>
      <c r="B18" s="17" t="s">
        <v>379</v>
      </c>
      <c r="C18" s="17" t="s">
        <v>380</v>
      </c>
      <c r="D18" s="20" t="s">
        <v>101</v>
      </c>
      <c r="E18" s="17" t="s">
        <v>381</v>
      </c>
      <c r="F18" s="20" t="s">
        <v>109</v>
      </c>
      <c r="G18" s="17" t="s">
        <v>74</v>
      </c>
      <c r="H18" s="20" t="s">
        <v>136</v>
      </c>
      <c r="I18" s="20" t="s">
        <v>137</v>
      </c>
      <c r="J18" s="17" t="s">
        <v>23</v>
      </c>
      <c r="K18" s="17" t="s">
        <v>382</v>
      </c>
      <c r="L18" s="20" t="s">
        <v>11</v>
      </c>
      <c r="M18" s="20" t="s">
        <v>104</v>
      </c>
      <c r="N18" s="18">
        <v>339.03</v>
      </c>
      <c r="O18" s="20">
        <v>5</v>
      </c>
      <c r="P18" s="5">
        <v>0.7</v>
      </c>
      <c r="Q18" s="18">
        <v>-84.85</v>
      </c>
    </row>
    <row r="19" spans="1:17" x14ac:dyDescent="0.35">
      <c r="A19" s="17" t="s">
        <v>448</v>
      </c>
      <c r="B19" s="17" t="s">
        <v>449</v>
      </c>
      <c r="C19" s="17" t="s">
        <v>450</v>
      </c>
      <c r="D19" s="20" t="s">
        <v>92</v>
      </c>
      <c r="E19" s="17" t="s">
        <v>451</v>
      </c>
      <c r="F19" s="20" t="s">
        <v>109</v>
      </c>
      <c r="G19" s="17" t="s">
        <v>74</v>
      </c>
      <c r="H19" s="20" t="s">
        <v>136</v>
      </c>
      <c r="I19" s="20" t="s">
        <v>137</v>
      </c>
      <c r="J19" s="17" t="s">
        <v>23</v>
      </c>
      <c r="K19" s="17" t="s">
        <v>452</v>
      </c>
      <c r="L19" s="20" t="s">
        <v>13</v>
      </c>
      <c r="M19" s="20" t="s">
        <v>214</v>
      </c>
      <c r="N19" s="18">
        <v>858.11</v>
      </c>
      <c r="O19" s="20">
        <v>4</v>
      </c>
      <c r="P19" s="5">
        <v>0.25</v>
      </c>
      <c r="Q19" s="18">
        <v>-152.41999999999999</v>
      </c>
    </row>
    <row r="20" spans="1:17" x14ac:dyDescent="0.35">
      <c r="A20" s="17" t="s">
        <v>329</v>
      </c>
      <c r="B20" s="17" t="s">
        <v>330</v>
      </c>
      <c r="C20" s="17" t="s">
        <v>331</v>
      </c>
      <c r="D20" s="20" t="s">
        <v>167</v>
      </c>
      <c r="E20" s="17" t="s">
        <v>332</v>
      </c>
      <c r="F20" s="20" t="s">
        <v>109</v>
      </c>
      <c r="G20" s="17" t="s">
        <v>74</v>
      </c>
      <c r="H20" s="20" t="s">
        <v>122</v>
      </c>
      <c r="I20" s="20" t="s">
        <v>123</v>
      </c>
      <c r="J20" s="17" t="s">
        <v>25</v>
      </c>
      <c r="K20" s="17" t="s">
        <v>333</v>
      </c>
      <c r="L20" s="20" t="s">
        <v>11</v>
      </c>
      <c r="M20" s="20" t="s">
        <v>104</v>
      </c>
      <c r="N20" s="18">
        <v>350.8</v>
      </c>
      <c r="O20" s="20">
        <v>7</v>
      </c>
      <c r="P20" s="5">
        <v>0.25</v>
      </c>
      <c r="Q20" s="18">
        <v>-86.12</v>
      </c>
    </row>
    <row r="21" spans="1:17" x14ac:dyDescent="0.35">
      <c r="A21" s="17" t="s">
        <v>341</v>
      </c>
      <c r="B21" s="17" t="s">
        <v>342</v>
      </c>
      <c r="C21" s="17" t="s">
        <v>127</v>
      </c>
      <c r="D21" s="20" t="s">
        <v>167</v>
      </c>
      <c r="E21" s="17" t="s">
        <v>343</v>
      </c>
      <c r="F21" s="20" t="s">
        <v>84</v>
      </c>
      <c r="G21" s="17" t="s">
        <v>74</v>
      </c>
      <c r="H21" s="20" t="s">
        <v>252</v>
      </c>
      <c r="I21" s="20" t="s">
        <v>199</v>
      </c>
      <c r="J21" s="17" t="s">
        <v>27</v>
      </c>
      <c r="K21" s="17" t="s">
        <v>344</v>
      </c>
      <c r="L21" s="20" t="s">
        <v>12</v>
      </c>
      <c r="M21" s="20" t="s">
        <v>97</v>
      </c>
      <c r="N21" s="18">
        <v>99.09</v>
      </c>
      <c r="O21" s="20">
        <v>2</v>
      </c>
      <c r="P21" s="5">
        <v>0.05</v>
      </c>
      <c r="Q21" s="18">
        <v>26.99</v>
      </c>
    </row>
    <row r="22" spans="1:17" x14ac:dyDescent="0.35">
      <c r="A22" s="17" t="s">
        <v>286</v>
      </c>
      <c r="B22" s="17" t="s">
        <v>287</v>
      </c>
      <c r="C22" s="17" t="s">
        <v>166</v>
      </c>
      <c r="D22" s="20" t="s">
        <v>167</v>
      </c>
      <c r="E22" s="17" t="s">
        <v>288</v>
      </c>
      <c r="F22" s="20" t="s">
        <v>73</v>
      </c>
      <c r="G22" s="17" t="s">
        <v>74</v>
      </c>
      <c r="H22" s="20" t="s">
        <v>116</v>
      </c>
      <c r="I22" s="20" t="s">
        <v>117</v>
      </c>
      <c r="J22" s="17" t="s">
        <v>29</v>
      </c>
      <c r="K22" s="17" t="s">
        <v>485</v>
      </c>
      <c r="L22" s="20" t="s">
        <v>12</v>
      </c>
      <c r="M22" s="20" t="s">
        <v>240</v>
      </c>
      <c r="N22" s="18">
        <v>175.65</v>
      </c>
      <c r="O22" s="20">
        <v>3</v>
      </c>
      <c r="P22" s="5">
        <v>0</v>
      </c>
      <c r="Q22" s="18">
        <v>43.91</v>
      </c>
    </row>
    <row r="23" spans="1:17" x14ac:dyDescent="0.35">
      <c r="A23" s="17" t="s">
        <v>465</v>
      </c>
      <c r="B23" s="17" t="s">
        <v>106</v>
      </c>
      <c r="C23" s="17" t="s">
        <v>107</v>
      </c>
      <c r="D23" s="20" t="s">
        <v>92</v>
      </c>
      <c r="E23" s="17" t="s">
        <v>466</v>
      </c>
      <c r="F23" s="20" t="s">
        <v>109</v>
      </c>
      <c r="G23" s="17" t="s">
        <v>74</v>
      </c>
      <c r="H23" s="20" t="s">
        <v>174</v>
      </c>
      <c r="I23" s="20" t="s">
        <v>175</v>
      </c>
      <c r="J23" s="17" t="s">
        <v>27</v>
      </c>
      <c r="K23" s="17" t="s">
        <v>467</v>
      </c>
      <c r="L23" s="20" t="s">
        <v>12</v>
      </c>
      <c r="M23" s="20" t="s">
        <v>240</v>
      </c>
      <c r="N23" s="18">
        <v>177.53</v>
      </c>
      <c r="O23" s="20">
        <v>2</v>
      </c>
      <c r="P23" s="5">
        <v>0</v>
      </c>
      <c r="Q23" s="18">
        <v>18.71</v>
      </c>
    </row>
    <row r="24" spans="1:17" x14ac:dyDescent="0.35">
      <c r="A24" s="17" t="s">
        <v>290</v>
      </c>
      <c r="B24" s="17" t="s">
        <v>291</v>
      </c>
      <c r="C24" s="17" t="s">
        <v>292</v>
      </c>
      <c r="D24" s="20" t="s">
        <v>167</v>
      </c>
      <c r="E24" s="17" t="s">
        <v>293</v>
      </c>
      <c r="F24" s="20" t="s">
        <v>84</v>
      </c>
      <c r="G24" s="17" t="s">
        <v>74</v>
      </c>
      <c r="H24" s="20" t="s">
        <v>191</v>
      </c>
      <c r="I24" s="20" t="s">
        <v>192</v>
      </c>
      <c r="J24" s="17" t="s">
        <v>23</v>
      </c>
      <c r="K24" s="17" t="s">
        <v>294</v>
      </c>
      <c r="L24" s="20" t="s">
        <v>12</v>
      </c>
      <c r="M24" s="20" t="s">
        <v>295</v>
      </c>
      <c r="N24" s="18">
        <v>202.64</v>
      </c>
      <c r="O24" s="20">
        <v>5</v>
      </c>
      <c r="P24" s="5">
        <v>0</v>
      </c>
      <c r="Q24" s="18">
        <v>51.02</v>
      </c>
    </row>
    <row r="25" spans="1:17" x14ac:dyDescent="0.35">
      <c r="A25" s="17" t="s">
        <v>259</v>
      </c>
      <c r="B25" s="17" t="s">
        <v>250</v>
      </c>
      <c r="C25" s="17" t="s">
        <v>260</v>
      </c>
      <c r="D25" s="20" t="s">
        <v>167</v>
      </c>
      <c r="E25" s="17" t="s">
        <v>261</v>
      </c>
      <c r="F25" s="20" t="s">
        <v>109</v>
      </c>
      <c r="G25" s="17" t="s">
        <v>74</v>
      </c>
      <c r="H25" s="20" t="s">
        <v>252</v>
      </c>
      <c r="I25" s="20" t="s">
        <v>199</v>
      </c>
      <c r="J25" s="17" t="s">
        <v>27</v>
      </c>
      <c r="K25" s="17" t="s">
        <v>262</v>
      </c>
      <c r="L25" s="20" t="s">
        <v>13</v>
      </c>
      <c r="M25" s="20" t="s">
        <v>151</v>
      </c>
      <c r="N25" s="18">
        <v>23.8</v>
      </c>
      <c r="O25" s="20">
        <v>6</v>
      </c>
      <c r="P25" s="5">
        <v>0.1</v>
      </c>
      <c r="Q25" s="18">
        <v>3.37</v>
      </c>
    </row>
    <row r="26" spans="1:17" x14ac:dyDescent="0.35">
      <c r="A26" s="17" t="s">
        <v>209</v>
      </c>
      <c r="B26" s="17" t="s">
        <v>210</v>
      </c>
      <c r="C26" s="17" t="s">
        <v>211</v>
      </c>
      <c r="D26" s="20" t="s">
        <v>71</v>
      </c>
      <c r="E26" s="17" t="s">
        <v>212</v>
      </c>
      <c r="F26" s="20" t="s">
        <v>109</v>
      </c>
      <c r="G26" s="17" t="s">
        <v>74</v>
      </c>
      <c r="H26" s="20" t="s">
        <v>143</v>
      </c>
      <c r="I26" s="20" t="s">
        <v>144</v>
      </c>
      <c r="J26" s="17" t="s">
        <v>27</v>
      </c>
      <c r="K26" s="17" t="s">
        <v>213</v>
      </c>
      <c r="L26" s="20" t="s">
        <v>13</v>
      </c>
      <c r="M26" s="20" t="s">
        <v>214</v>
      </c>
      <c r="N26" s="18">
        <v>653.29999999999995</v>
      </c>
      <c r="O26" s="20">
        <v>1</v>
      </c>
      <c r="P26" s="5">
        <v>0.35</v>
      </c>
      <c r="Q26" s="18">
        <v>-98.12</v>
      </c>
    </row>
    <row r="27" spans="1:17" x14ac:dyDescent="0.35">
      <c r="A27" s="17" t="s">
        <v>267</v>
      </c>
      <c r="B27" s="17" t="s">
        <v>268</v>
      </c>
      <c r="C27" s="17" t="s">
        <v>269</v>
      </c>
      <c r="D27" s="20" t="s">
        <v>101</v>
      </c>
      <c r="E27" s="17" t="s">
        <v>270</v>
      </c>
      <c r="F27" s="20" t="s">
        <v>84</v>
      </c>
      <c r="G27" s="17" t="s">
        <v>74</v>
      </c>
      <c r="H27" s="20" t="s">
        <v>85</v>
      </c>
      <c r="I27" s="20" t="s">
        <v>86</v>
      </c>
      <c r="J27" s="17" t="s">
        <v>25</v>
      </c>
      <c r="K27" s="17" t="s">
        <v>271</v>
      </c>
      <c r="L27" s="20" t="s">
        <v>12</v>
      </c>
      <c r="M27" s="20" t="s">
        <v>47</v>
      </c>
      <c r="N27" s="18">
        <v>379.53</v>
      </c>
      <c r="O27" s="20">
        <v>7</v>
      </c>
      <c r="P27" s="5">
        <v>0.05</v>
      </c>
      <c r="Q27" s="18">
        <v>75.97</v>
      </c>
    </row>
    <row r="28" spans="1:17" x14ac:dyDescent="0.35">
      <c r="A28" s="17" t="s">
        <v>341</v>
      </c>
      <c r="B28" s="17" t="s">
        <v>342</v>
      </c>
      <c r="C28" s="17" t="s">
        <v>127</v>
      </c>
      <c r="D28" s="20" t="s">
        <v>167</v>
      </c>
      <c r="E28" s="17" t="s">
        <v>343</v>
      </c>
      <c r="F28" s="20" t="s">
        <v>84</v>
      </c>
      <c r="G28" s="17" t="s">
        <v>74</v>
      </c>
      <c r="H28" s="20" t="s">
        <v>252</v>
      </c>
      <c r="I28" s="20" t="s">
        <v>199</v>
      </c>
      <c r="J28" s="17" t="s">
        <v>27</v>
      </c>
      <c r="K28" s="17" t="s">
        <v>486</v>
      </c>
      <c r="L28" s="20" t="s">
        <v>13</v>
      </c>
      <c r="M28" s="20" t="s">
        <v>417</v>
      </c>
      <c r="N28" s="18">
        <v>99.91</v>
      </c>
      <c r="O28" s="20">
        <v>2</v>
      </c>
      <c r="P28" s="5">
        <v>0</v>
      </c>
      <c r="Q28" s="18">
        <v>24.98</v>
      </c>
    </row>
    <row r="29" spans="1:17" x14ac:dyDescent="0.35">
      <c r="A29" s="17" t="s">
        <v>68</v>
      </c>
      <c r="B29" s="17" t="s">
        <v>69</v>
      </c>
      <c r="C29" s="17" t="s">
        <v>70</v>
      </c>
      <c r="D29" s="20" t="s">
        <v>71</v>
      </c>
      <c r="E29" s="17" t="s">
        <v>72</v>
      </c>
      <c r="F29" s="20" t="s">
        <v>73</v>
      </c>
      <c r="G29" s="17" t="s">
        <v>74</v>
      </c>
      <c r="H29" s="20" t="s">
        <v>75</v>
      </c>
      <c r="I29" s="20" t="s">
        <v>76</v>
      </c>
      <c r="J29" s="17" t="s">
        <v>23</v>
      </c>
      <c r="K29" s="17" t="s">
        <v>487</v>
      </c>
      <c r="L29" s="20" t="s">
        <v>13</v>
      </c>
      <c r="M29" s="20" t="s">
        <v>417</v>
      </c>
      <c r="N29" s="18">
        <v>34.380000000000003</v>
      </c>
      <c r="O29" s="20">
        <v>3</v>
      </c>
      <c r="P29" s="5">
        <v>0</v>
      </c>
      <c r="Q29" s="18">
        <v>8.6</v>
      </c>
    </row>
    <row r="30" spans="1:17" x14ac:dyDescent="0.35">
      <c r="A30" s="17" t="s">
        <v>345</v>
      </c>
      <c r="B30" s="17" t="s">
        <v>264</v>
      </c>
      <c r="C30" s="17" t="s">
        <v>346</v>
      </c>
      <c r="D30" s="20" t="s">
        <v>101</v>
      </c>
      <c r="E30" s="17" t="s">
        <v>347</v>
      </c>
      <c r="F30" s="20" t="s">
        <v>109</v>
      </c>
      <c r="G30" s="17" t="s">
        <v>74</v>
      </c>
      <c r="H30" s="20" t="s">
        <v>229</v>
      </c>
      <c r="I30" s="20" t="s">
        <v>230</v>
      </c>
      <c r="J30" s="17" t="s">
        <v>29</v>
      </c>
      <c r="K30" s="17" t="s">
        <v>348</v>
      </c>
      <c r="L30" s="20" t="s">
        <v>13</v>
      </c>
      <c r="M30" s="20" t="s">
        <v>214</v>
      </c>
      <c r="N30" s="18">
        <v>442.25</v>
      </c>
      <c r="O30" s="20">
        <v>2</v>
      </c>
      <c r="P30" s="5">
        <v>0.35</v>
      </c>
      <c r="Q30" s="18">
        <v>-79.069999999999993</v>
      </c>
    </row>
    <row r="31" spans="1:17" x14ac:dyDescent="0.35">
      <c r="A31" s="17" t="s">
        <v>139</v>
      </c>
      <c r="B31" s="17" t="s">
        <v>140</v>
      </c>
      <c r="C31" s="17" t="s">
        <v>141</v>
      </c>
      <c r="D31" s="20" t="s">
        <v>71</v>
      </c>
      <c r="E31" s="17" t="s">
        <v>142</v>
      </c>
      <c r="F31" s="20" t="s">
        <v>84</v>
      </c>
      <c r="G31" s="17" t="s">
        <v>74</v>
      </c>
      <c r="H31" s="20" t="s">
        <v>143</v>
      </c>
      <c r="I31" s="20" t="s">
        <v>144</v>
      </c>
      <c r="J31" s="17" t="s">
        <v>27</v>
      </c>
      <c r="K31" s="17" t="s">
        <v>488</v>
      </c>
      <c r="L31" s="20" t="s">
        <v>13</v>
      </c>
      <c r="M31" s="20" t="s">
        <v>417</v>
      </c>
      <c r="N31" s="18">
        <v>388.72</v>
      </c>
      <c r="O31" s="20">
        <v>1</v>
      </c>
      <c r="P31" s="5">
        <v>0.2</v>
      </c>
      <c r="Q31" s="18">
        <v>97.18</v>
      </c>
    </row>
    <row r="32" spans="1:17" x14ac:dyDescent="0.35">
      <c r="A32" s="17" t="s">
        <v>236</v>
      </c>
      <c r="B32" s="17" t="s">
        <v>188</v>
      </c>
      <c r="C32" s="17" t="s">
        <v>237</v>
      </c>
      <c r="D32" s="20" t="s">
        <v>167</v>
      </c>
      <c r="E32" s="17" t="s">
        <v>238</v>
      </c>
      <c r="F32" s="20" t="s">
        <v>109</v>
      </c>
      <c r="G32" s="17" t="s">
        <v>74</v>
      </c>
      <c r="H32" s="20" t="s">
        <v>116</v>
      </c>
      <c r="I32" s="20" t="s">
        <v>117</v>
      </c>
      <c r="J32" s="17" t="s">
        <v>29</v>
      </c>
      <c r="K32" s="17" t="s">
        <v>239</v>
      </c>
      <c r="L32" s="20" t="s">
        <v>12</v>
      </c>
      <c r="M32" s="20" t="s">
        <v>240</v>
      </c>
      <c r="N32" s="18">
        <v>145.37</v>
      </c>
      <c r="O32" s="20">
        <v>2</v>
      </c>
      <c r="P32" s="5">
        <v>0</v>
      </c>
      <c r="Q32" s="18">
        <v>37.21</v>
      </c>
    </row>
    <row r="33" spans="1:17" x14ac:dyDescent="0.35">
      <c r="A33" s="17" t="s">
        <v>209</v>
      </c>
      <c r="B33" s="17" t="s">
        <v>210</v>
      </c>
      <c r="C33" s="17" t="s">
        <v>211</v>
      </c>
      <c r="D33" s="20" t="s">
        <v>71</v>
      </c>
      <c r="E33" s="17" t="s">
        <v>212</v>
      </c>
      <c r="F33" s="20" t="s">
        <v>109</v>
      </c>
      <c r="G33" s="17" t="s">
        <v>74</v>
      </c>
      <c r="H33" s="20" t="s">
        <v>143</v>
      </c>
      <c r="I33" s="20" t="s">
        <v>144</v>
      </c>
      <c r="J33" s="17" t="s">
        <v>27</v>
      </c>
      <c r="K33" s="17" t="s">
        <v>489</v>
      </c>
      <c r="L33" s="20" t="s">
        <v>11</v>
      </c>
      <c r="M33" s="20" t="s">
        <v>43</v>
      </c>
      <c r="N33" s="18">
        <v>127.2</v>
      </c>
      <c r="O33" s="20">
        <v>2</v>
      </c>
      <c r="P33" s="5">
        <v>0.2</v>
      </c>
      <c r="Q33" s="18">
        <v>31.8</v>
      </c>
    </row>
    <row r="34" spans="1:17" x14ac:dyDescent="0.35">
      <c r="A34" s="17" t="s">
        <v>272</v>
      </c>
      <c r="B34" s="17" t="s">
        <v>120</v>
      </c>
      <c r="C34" s="17" t="s">
        <v>273</v>
      </c>
      <c r="D34" s="20" t="s">
        <v>92</v>
      </c>
      <c r="E34" s="17" t="s">
        <v>274</v>
      </c>
      <c r="F34" s="20" t="s">
        <v>84</v>
      </c>
      <c r="G34" s="17" t="s">
        <v>74</v>
      </c>
      <c r="H34" s="20" t="s">
        <v>275</v>
      </c>
      <c r="I34" s="20" t="s">
        <v>76</v>
      </c>
      <c r="J34" s="17" t="s">
        <v>23</v>
      </c>
      <c r="K34" s="17" t="s">
        <v>276</v>
      </c>
      <c r="L34" s="20" t="s">
        <v>12</v>
      </c>
      <c r="M34" s="20" t="s">
        <v>240</v>
      </c>
      <c r="N34" s="18">
        <v>86.25</v>
      </c>
      <c r="O34" s="20">
        <v>1</v>
      </c>
      <c r="P34" s="5">
        <v>0.2</v>
      </c>
      <c r="Q34" s="18">
        <v>10.62</v>
      </c>
    </row>
    <row r="35" spans="1:17" x14ac:dyDescent="0.35">
      <c r="A35" s="17" t="s">
        <v>132</v>
      </c>
      <c r="B35" s="17" t="s">
        <v>133</v>
      </c>
      <c r="C35" s="17" t="s">
        <v>134</v>
      </c>
      <c r="D35" s="20" t="s">
        <v>71</v>
      </c>
      <c r="E35" s="17" t="s">
        <v>135</v>
      </c>
      <c r="F35" s="20" t="s">
        <v>84</v>
      </c>
      <c r="G35" s="17" t="s">
        <v>74</v>
      </c>
      <c r="H35" s="20" t="s">
        <v>136</v>
      </c>
      <c r="I35" s="20" t="s">
        <v>137</v>
      </c>
      <c r="J35" s="17" t="s">
        <v>23</v>
      </c>
      <c r="K35" s="17" t="s">
        <v>138</v>
      </c>
      <c r="L35" s="20" t="s">
        <v>13</v>
      </c>
      <c r="M35" s="20" t="s">
        <v>78</v>
      </c>
      <c r="N35" s="18">
        <v>163.77000000000001</v>
      </c>
      <c r="O35" s="20">
        <v>1</v>
      </c>
      <c r="P35" s="5">
        <v>0.2</v>
      </c>
      <c r="Q35" s="18">
        <v>29.9</v>
      </c>
    </row>
    <row r="36" spans="1:17" x14ac:dyDescent="0.35">
      <c r="A36" s="17" t="s">
        <v>337</v>
      </c>
      <c r="B36" s="17" t="s">
        <v>338</v>
      </c>
      <c r="C36" s="17" t="s">
        <v>217</v>
      </c>
      <c r="D36" s="20" t="s">
        <v>71</v>
      </c>
      <c r="E36" s="17" t="s">
        <v>339</v>
      </c>
      <c r="F36" s="20" t="s">
        <v>109</v>
      </c>
      <c r="G36" s="17" t="s">
        <v>74</v>
      </c>
      <c r="H36" s="20" t="s">
        <v>229</v>
      </c>
      <c r="I36" s="20" t="s">
        <v>230</v>
      </c>
      <c r="J36" s="17" t="s">
        <v>29</v>
      </c>
      <c r="K36" s="17" t="s">
        <v>340</v>
      </c>
      <c r="L36" s="20" t="s">
        <v>11</v>
      </c>
      <c r="M36" s="20" t="s">
        <v>39</v>
      </c>
      <c r="N36" s="18">
        <v>574.54999999999995</v>
      </c>
      <c r="O36" s="20">
        <v>8</v>
      </c>
      <c r="P36" s="5">
        <v>0.1</v>
      </c>
      <c r="Q36" s="18">
        <v>184.2</v>
      </c>
    </row>
    <row r="37" spans="1:17" x14ac:dyDescent="0.35">
      <c r="A37" s="17" t="s">
        <v>392</v>
      </c>
      <c r="B37" s="17" t="s">
        <v>393</v>
      </c>
      <c r="C37" s="17" t="s">
        <v>195</v>
      </c>
      <c r="D37" s="20" t="s">
        <v>101</v>
      </c>
      <c r="E37" s="17" t="s">
        <v>394</v>
      </c>
      <c r="F37" s="20" t="s">
        <v>109</v>
      </c>
      <c r="G37" s="17" t="s">
        <v>74</v>
      </c>
      <c r="H37" s="20" t="s">
        <v>252</v>
      </c>
      <c r="I37" s="20" t="s">
        <v>199</v>
      </c>
      <c r="J37" s="17" t="s">
        <v>27</v>
      </c>
      <c r="K37" s="17" t="s">
        <v>395</v>
      </c>
      <c r="L37" s="20" t="s">
        <v>12</v>
      </c>
      <c r="M37" s="20" t="s">
        <v>368</v>
      </c>
      <c r="N37" s="18">
        <v>72.489999999999995</v>
      </c>
      <c r="O37" s="20">
        <v>2</v>
      </c>
      <c r="P37" s="5">
        <v>0.1</v>
      </c>
      <c r="Q37" s="18">
        <v>18.55</v>
      </c>
    </row>
    <row r="38" spans="1:17" x14ac:dyDescent="0.35">
      <c r="A38" s="17" t="s">
        <v>410</v>
      </c>
      <c r="B38" s="17" t="s">
        <v>411</v>
      </c>
      <c r="C38" s="17" t="s">
        <v>393</v>
      </c>
      <c r="D38" s="20" t="s">
        <v>101</v>
      </c>
      <c r="E38" s="17" t="s">
        <v>412</v>
      </c>
      <c r="F38" s="20" t="s">
        <v>73</v>
      </c>
      <c r="G38" s="17" t="s">
        <v>74</v>
      </c>
      <c r="H38" s="20" t="s">
        <v>229</v>
      </c>
      <c r="I38" s="20" t="s">
        <v>230</v>
      </c>
      <c r="J38" s="17" t="s">
        <v>29</v>
      </c>
      <c r="K38" s="17" t="s">
        <v>413</v>
      </c>
      <c r="L38" s="20" t="s">
        <v>13</v>
      </c>
      <c r="M38" s="20" t="s">
        <v>214</v>
      </c>
      <c r="N38" s="18">
        <v>883.17</v>
      </c>
      <c r="O38" s="20">
        <v>7</v>
      </c>
      <c r="P38" s="5">
        <v>0.25</v>
      </c>
      <c r="Q38" s="18">
        <v>-229.25</v>
      </c>
    </row>
    <row r="39" spans="1:17" x14ac:dyDescent="0.35">
      <c r="A39" s="17" t="s">
        <v>457</v>
      </c>
      <c r="B39" s="17" t="s">
        <v>458</v>
      </c>
      <c r="C39" s="17" t="s">
        <v>374</v>
      </c>
      <c r="D39" s="20" t="s">
        <v>92</v>
      </c>
      <c r="E39" s="17" t="s">
        <v>459</v>
      </c>
      <c r="F39" s="20" t="s">
        <v>73</v>
      </c>
      <c r="G39" s="17" t="s">
        <v>74</v>
      </c>
      <c r="H39" s="20" t="s">
        <v>229</v>
      </c>
      <c r="I39" s="20" t="s">
        <v>230</v>
      </c>
      <c r="J39" s="17" t="s">
        <v>29</v>
      </c>
      <c r="K39" s="17" t="s">
        <v>460</v>
      </c>
      <c r="L39" s="20" t="s">
        <v>13</v>
      </c>
      <c r="M39" s="20" t="s">
        <v>151</v>
      </c>
      <c r="N39" s="18">
        <v>216.01</v>
      </c>
      <c r="O39" s="20">
        <v>1</v>
      </c>
      <c r="P39" s="5">
        <v>0.1</v>
      </c>
      <c r="Q39" s="18">
        <v>50.76</v>
      </c>
    </row>
    <row r="40" spans="1:17" x14ac:dyDescent="0.35">
      <c r="A40" s="17" t="s">
        <v>325</v>
      </c>
      <c r="B40" s="17" t="s">
        <v>316</v>
      </c>
      <c r="C40" s="17" t="s">
        <v>326</v>
      </c>
      <c r="D40" s="20" t="s">
        <v>167</v>
      </c>
      <c r="E40" s="17" t="s">
        <v>327</v>
      </c>
      <c r="F40" s="20" t="s">
        <v>84</v>
      </c>
      <c r="G40" s="17" t="s">
        <v>74</v>
      </c>
      <c r="H40" s="20" t="s">
        <v>174</v>
      </c>
      <c r="I40" s="20" t="s">
        <v>175</v>
      </c>
      <c r="J40" s="17" t="s">
        <v>27</v>
      </c>
      <c r="K40" s="17" t="s">
        <v>328</v>
      </c>
      <c r="L40" s="20" t="s">
        <v>13</v>
      </c>
      <c r="M40" s="20" t="s">
        <v>78</v>
      </c>
      <c r="N40" s="18">
        <v>110.27</v>
      </c>
      <c r="O40" s="20">
        <v>1</v>
      </c>
      <c r="P40" s="5">
        <v>0.2</v>
      </c>
      <c r="Q40" s="18">
        <v>14.39</v>
      </c>
    </row>
    <row r="41" spans="1:17" x14ac:dyDescent="0.35">
      <c r="A41" s="17" t="s">
        <v>369</v>
      </c>
      <c r="B41" s="17" t="s">
        <v>370</v>
      </c>
      <c r="C41" s="17" t="s">
        <v>113</v>
      </c>
      <c r="D41" s="20" t="s">
        <v>71</v>
      </c>
      <c r="E41" s="17" t="s">
        <v>371</v>
      </c>
      <c r="F41" s="20" t="s">
        <v>73</v>
      </c>
      <c r="G41" s="17" t="s">
        <v>74</v>
      </c>
      <c r="H41" s="20" t="s">
        <v>162</v>
      </c>
      <c r="I41" s="20" t="s">
        <v>163</v>
      </c>
      <c r="J41" s="17" t="s">
        <v>25</v>
      </c>
      <c r="K41" s="17" t="s">
        <v>490</v>
      </c>
      <c r="L41" s="20" t="s">
        <v>11</v>
      </c>
      <c r="M41" s="20" t="s">
        <v>43</v>
      </c>
      <c r="N41" s="18">
        <v>294.79000000000002</v>
      </c>
      <c r="O41" s="20">
        <v>4</v>
      </c>
      <c r="P41" s="5">
        <v>0.4</v>
      </c>
      <c r="Q41" s="18">
        <v>-58.96</v>
      </c>
    </row>
    <row r="42" spans="1:17" x14ac:dyDescent="0.35">
      <c r="A42" s="17" t="s">
        <v>358</v>
      </c>
      <c r="B42" s="17" t="s">
        <v>359</v>
      </c>
      <c r="C42" s="17" t="s">
        <v>360</v>
      </c>
      <c r="D42" s="20" t="s">
        <v>71</v>
      </c>
      <c r="E42" s="17" t="s">
        <v>361</v>
      </c>
      <c r="F42" s="20" t="s">
        <v>84</v>
      </c>
      <c r="G42" s="17" t="s">
        <v>74</v>
      </c>
      <c r="H42" s="20" t="s">
        <v>143</v>
      </c>
      <c r="I42" s="20" t="s">
        <v>144</v>
      </c>
      <c r="J42" s="17" t="s">
        <v>27</v>
      </c>
      <c r="K42" s="17" t="s">
        <v>362</v>
      </c>
      <c r="L42" s="20" t="s">
        <v>13</v>
      </c>
      <c r="M42" s="20" t="s">
        <v>78</v>
      </c>
      <c r="N42" s="18">
        <v>57.85</v>
      </c>
      <c r="O42" s="20">
        <v>3</v>
      </c>
      <c r="P42" s="5">
        <v>0.1</v>
      </c>
      <c r="Q42" s="18">
        <v>10.210000000000001</v>
      </c>
    </row>
    <row r="43" spans="1:17" x14ac:dyDescent="0.35">
      <c r="A43" s="17" t="s">
        <v>177</v>
      </c>
      <c r="B43" s="17" t="s">
        <v>178</v>
      </c>
      <c r="C43" s="17" t="s">
        <v>179</v>
      </c>
      <c r="D43" s="20" t="s">
        <v>167</v>
      </c>
      <c r="E43" s="17" t="s">
        <v>180</v>
      </c>
      <c r="F43" s="20" t="s">
        <v>73</v>
      </c>
      <c r="G43" s="17" t="s">
        <v>74</v>
      </c>
      <c r="H43" s="20" t="s">
        <v>75</v>
      </c>
      <c r="I43" s="20" t="s">
        <v>76</v>
      </c>
      <c r="J43" s="17" t="s">
        <v>23</v>
      </c>
      <c r="K43" s="17" t="s">
        <v>491</v>
      </c>
      <c r="L43" s="20" t="s">
        <v>13</v>
      </c>
      <c r="M43" s="20" t="s">
        <v>214</v>
      </c>
      <c r="N43" s="18">
        <v>262.22000000000003</v>
      </c>
      <c r="O43" s="20">
        <v>4</v>
      </c>
      <c r="P43" s="5">
        <v>0</v>
      </c>
      <c r="Q43" s="18">
        <v>65.56</v>
      </c>
    </row>
    <row r="44" spans="1:17" x14ac:dyDescent="0.35">
      <c r="A44" s="17" t="s">
        <v>158</v>
      </c>
      <c r="B44" s="17" t="s">
        <v>159</v>
      </c>
      <c r="C44" s="17" t="s">
        <v>160</v>
      </c>
      <c r="D44" s="20" t="s">
        <v>92</v>
      </c>
      <c r="E44" s="17" t="s">
        <v>161</v>
      </c>
      <c r="F44" s="20" t="s">
        <v>73</v>
      </c>
      <c r="G44" s="17" t="s">
        <v>74</v>
      </c>
      <c r="H44" s="20" t="s">
        <v>162</v>
      </c>
      <c r="I44" s="20" t="s">
        <v>163</v>
      </c>
      <c r="J44" s="17" t="s">
        <v>25</v>
      </c>
      <c r="K44" s="17" t="s">
        <v>164</v>
      </c>
      <c r="L44" s="20" t="s">
        <v>12</v>
      </c>
      <c r="M44" s="20" t="s">
        <v>45</v>
      </c>
      <c r="N44" s="18">
        <v>281.27</v>
      </c>
      <c r="O44" s="20">
        <v>1</v>
      </c>
      <c r="P44" s="5">
        <v>0.1</v>
      </c>
      <c r="Q44" s="18">
        <v>83.81</v>
      </c>
    </row>
    <row r="45" spans="1:17" x14ac:dyDescent="0.35">
      <c r="A45" s="17" t="s">
        <v>286</v>
      </c>
      <c r="B45" s="17" t="s">
        <v>287</v>
      </c>
      <c r="C45" s="17" t="s">
        <v>166</v>
      </c>
      <c r="D45" s="20" t="s">
        <v>167</v>
      </c>
      <c r="E45" s="17" t="s">
        <v>288</v>
      </c>
      <c r="F45" s="20" t="s">
        <v>73</v>
      </c>
      <c r="G45" s="17" t="s">
        <v>74</v>
      </c>
      <c r="H45" s="20" t="s">
        <v>116</v>
      </c>
      <c r="I45" s="20" t="s">
        <v>117</v>
      </c>
      <c r="J45" s="17" t="s">
        <v>29</v>
      </c>
      <c r="K45" s="17" t="s">
        <v>289</v>
      </c>
      <c r="L45" s="20" t="s">
        <v>13</v>
      </c>
      <c r="M45" s="20" t="s">
        <v>151</v>
      </c>
      <c r="N45" s="18">
        <v>129.61000000000001</v>
      </c>
      <c r="O45" s="20">
        <v>6</v>
      </c>
      <c r="P45" s="5">
        <v>0</v>
      </c>
      <c r="Q45" s="18">
        <v>21.5</v>
      </c>
    </row>
    <row r="46" spans="1:17" x14ac:dyDescent="0.35">
      <c r="A46" s="17" t="s">
        <v>220</v>
      </c>
      <c r="B46" s="17" t="s">
        <v>221</v>
      </c>
      <c r="C46" s="17" t="s">
        <v>222</v>
      </c>
      <c r="D46" s="20" t="s">
        <v>92</v>
      </c>
      <c r="E46" s="17" t="s">
        <v>223</v>
      </c>
      <c r="F46" s="20" t="s">
        <v>73</v>
      </c>
      <c r="G46" s="17" t="s">
        <v>74</v>
      </c>
      <c r="H46" s="20" t="s">
        <v>116</v>
      </c>
      <c r="I46" s="20" t="s">
        <v>117</v>
      </c>
      <c r="J46" s="17" t="s">
        <v>29</v>
      </c>
      <c r="K46" s="17" t="s">
        <v>224</v>
      </c>
      <c r="L46" s="20" t="s">
        <v>12</v>
      </c>
      <c r="M46" s="20" t="s">
        <v>97</v>
      </c>
      <c r="N46" s="18">
        <v>391.47</v>
      </c>
      <c r="O46" s="20">
        <v>5</v>
      </c>
      <c r="P46" s="5">
        <v>0.05</v>
      </c>
      <c r="Q46" s="18">
        <v>118.06</v>
      </c>
    </row>
    <row r="47" spans="1:17" x14ac:dyDescent="0.35">
      <c r="A47" s="17" t="s">
        <v>301</v>
      </c>
      <c r="B47" s="17" t="s">
        <v>140</v>
      </c>
      <c r="C47" s="17" t="s">
        <v>302</v>
      </c>
      <c r="D47" s="20" t="s">
        <v>92</v>
      </c>
      <c r="E47" s="17" t="s">
        <v>303</v>
      </c>
      <c r="F47" s="20" t="s">
        <v>73</v>
      </c>
      <c r="G47" s="17" t="s">
        <v>74</v>
      </c>
      <c r="H47" s="20" t="s">
        <v>162</v>
      </c>
      <c r="I47" s="20" t="s">
        <v>163</v>
      </c>
      <c r="J47" s="17" t="s">
        <v>25</v>
      </c>
      <c r="K47" s="17" t="s">
        <v>304</v>
      </c>
      <c r="L47" s="20" t="s">
        <v>11</v>
      </c>
      <c r="M47" s="20" t="s">
        <v>39</v>
      </c>
      <c r="N47" s="18">
        <v>1792.92</v>
      </c>
      <c r="O47" s="20">
        <v>6</v>
      </c>
      <c r="P47" s="5">
        <v>0.1</v>
      </c>
      <c r="Q47" s="18">
        <v>407.07</v>
      </c>
    </row>
    <row r="48" spans="1:17" x14ac:dyDescent="0.35">
      <c r="A48" s="17" t="s">
        <v>305</v>
      </c>
      <c r="B48" s="17" t="s">
        <v>306</v>
      </c>
      <c r="C48" s="17" t="s">
        <v>307</v>
      </c>
      <c r="D48" s="20" t="s">
        <v>167</v>
      </c>
      <c r="E48" s="17" t="s">
        <v>308</v>
      </c>
      <c r="F48" s="20" t="s">
        <v>109</v>
      </c>
      <c r="G48" s="17" t="s">
        <v>74</v>
      </c>
      <c r="H48" s="20" t="s">
        <v>174</v>
      </c>
      <c r="I48" s="20" t="s">
        <v>175</v>
      </c>
      <c r="J48" s="17" t="s">
        <v>27</v>
      </c>
      <c r="K48" s="17" t="s">
        <v>309</v>
      </c>
      <c r="L48" s="20" t="s">
        <v>12</v>
      </c>
      <c r="M48" s="20" t="s">
        <v>88</v>
      </c>
      <c r="N48" s="18">
        <v>96.45</v>
      </c>
      <c r="O48" s="20">
        <v>3</v>
      </c>
      <c r="P48" s="5">
        <v>0.2</v>
      </c>
      <c r="Q48" s="18">
        <v>13.48</v>
      </c>
    </row>
    <row r="49" spans="1:17" x14ac:dyDescent="0.35">
      <c r="A49" s="17" t="s">
        <v>194</v>
      </c>
      <c r="B49" s="17" t="s">
        <v>195</v>
      </c>
      <c r="C49" s="17" t="s">
        <v>196</v>
      </c>
      <c r="D49" s="20" t="s">
        <v>167</v>
      </c>
      <c r="E49" s="17" t="s">
        <v>197</v>
      </c>
      <c r="F49" s="20" t="s">
        <v>84</v>
      </c>
      <c r="G49" s="17" t="s">
        <v>74</v>
      </c>
      <c r="H49" s="20" t="s">
        <v>198</v>
      </c>
      <c r="I49" s="20" t="s">
        <v>199</v>
      </c>
      <c r="J49" s="17" t="s">
        <v>27</v>
      </c>
      <c r="K49" s="17" t="s">
        <v>200</v>
      </c>
      <c r="L49" s="20" t="s">
        <v>11</v>
      </c>
      <c r="M49" s="20" t="s">
        <v>41</v>
      </c>
      <c r="N49" s="18">
        <v>1283.67</v>
      </c>
      <c r="O49" s="20">
        <v>7</v>
      </c>
      <c r="P49" s="5">
        <v>0.2</v>
      </c>
      <c r="Q49" s="18">
        <v>269.94</v>
      </c>
    </row>
    <row r="50" spans="1:17" x14ac:dyDescent="0.35">
      <c r="A50" s="17" t="s">
        <v>423</v>
      </c>
      <c r="B50" s="17" t="s">
        <v>365</v>
      </c>
      <c r="C50" s="17" t="s">
        <v>424</v>
      </c>
      <c r="D50" s="20" t="s">
        <v>167</v>
      </c>
      <c r="E50" s="17" t="s">
        <v>425</v>
      </c>
      <c r="F50" s="20" t="s">
        <v>73</v>
      </c>
      <c r="G50" s="17" t="s">
        <v>74</v>
      </c>
      <c r="H50" s="20" t="s">
        <v>75</v>
      </c>
      <c r="I50" s="20" t="s">
        <v>76</v>
      </c>
      <c r="J50" s="17" t="s">
        <v>23</v>
      </c>
      <c r="K50" s="17" t="s">
        <v>426</v>
      </c>
      <c r="L50" s="20" t="s">
        <v>13</v>
      </c>
      <c r="M50" s="20" t="s">
        <v>151</v>
      </c>
      <c r="N50" s="18">
        <v>209.87</v>
      </c>
      <c r="O50" s="20">
        <v>3</v>
      </c>
      <c r="P50" s="5">
        <v>0</v>
      </c>
      <c r="Q50" s="18">
        <v>52.64</v>
      </c>
    </row>
    <row r="51" spans="1:17" x14ac:dyDescent="0.35">
      <c r="A51" s="17" t="s">
        <v>401</v>
      </c>
      <c r="B51" s="17" t="s">
        <v>260</v>
      </c>
      <c r="C51" s="17" t="s">
        <v>402</v>
      </c>
      <c r="D51" s="20" t="s">
        <v>92</v>
      </c>
      <c r="E51" s="17" t="s">
        <v>403</v>
      </c>
      <c r="F51" s="20" t="s">
        <v>109</v>
      </c>
      <c r="G51" s="17" t="s">
        <v>74</v>
      </c>
      <c r="H51" s="20" t="s">
        <v>136</v>
      </c>
      <c r="I51" s="20" t="s">
        <v>137</v>
      </c>
      <c r="J51" s="17" t="s">
        <v>23</v>
      </c>
      <c r="K51" s="17" t="s">
        <v>404</v>
      </c>
      <c r="L51" s="20" t="s">
        <v>11</v>
      </c>
      <c r="M51" s="20" t="s">
        <v>104</v>
      </c>
      <c r="N51" s="18">
        <v>1177.8699999999999</v>
      </c>
      <c r="O51" s="20">
        <v>8</v>
      </c>
      <c r="P51" s="5">
        <v>0.35</v>
      </c>
      <c r="Q51" s="18">
        <v>-485.61</v>
      </c>
    </row>
    <row r="52" spans="1:17" x14ac:dyDescent="0.35">
      <c r="A52" s="17" t="s">
        <v>396</v>
      </c>
      <c r="B52" s="17" t="s">
        <v>397</v>
      </c>
      <c r="C52" s="17" t="s">
        <v>398</v>
      </c>
      <c r="D52" s="20" t="s">
        <v>167</v>
      </c>
      <c r="E52" s="17" t="s">
        <v>399</v>
      </c>
      <c r="F52" s="20" t="s">
        <v>84</v>
      </c>
      <c r="G52" s="17" t="s">
        <v>74</v>
      </c>
      <c r="H52" s="20" t="s">
        <v>143</v>
      </c>
      <c r="I52" s="20" t="s">
        <v>144</v>
      </c>
      <c r="J52" s="17" t="s">
        <v>27</v>
      </c>
      <c r="K52" s="17" t="s">
        <v>400</v>
      </c>
      <c r="L52" s="20" t="s">
        <v>12</v>
      </c>
      <c r="M52" s="20" t="s">
        <v>131</v>
      </c>
      <c r="N52" s="18">
        <v>179.08</v>
      </c>
      <c r="O52" s="20">
        <v>6</v>
      </c>
      <c r="P52" s="5">
        <v>0.2</v>
      </c>
      <c r="Q52" s="18">
        <v>36.6</v>
      </c>
    </row>
    <row r="53" spans="1:17" x14ac:dyDescent="0.35">
      <c r="A53" s="17" t="s">
        <v>126</v>
      </c>
      <c r="B53" s="17" t="s">
        <v>127</v>
      </c>
      <c r="C53" s="17" t="s">
        <v>128</v>
      </c>
      <c r="D53" s="20" t="s">
        <v>71</v>
      </c>
      <c r="E53" s="17" t="s">
        <v>129</v>
      </c>
      <c r="F53" s="20" t="s">
        <v>73</v>
      </c>
      <c r="G53" s="17" t="s">
        <v>74</v>
      </c>
      <c r="H53" s="20" t="s">
        <v>75</v>
      </c>
      <c r="I53" s="20" t="s">
        <v>76</v>
      </c>
      <c r="J53" s="17" t="s">
        <v>23</v>
      </c>
      <c r="K53" s="17" t="s">
        <v>130</v>
      </c>
      <c r="L53" s="20" t="s">
        <v>12</v>
      </c>
      <c r="M53" s="20" t="s">
        <v>131</v>
      </c>
      <c r="N53" s="18">
        <v>235.26</v>
      </c>
      <c r="O53" s="20">
        <v>5</v>
      </c>
      <c r="P53" s="5">
        <v>0.1</v>
      </c>
      <c r="Q53" s="18">
        <v>43.26</v>
      </c>
    </row>
    <row r="54" spans="1:17" x14ac:dyDescent="0.35">
      <c r="A54" s="17" t="s">
        <v>277</v>
      </c>
      <c r="B54" s="17" t="s">
        <v>278</v>
      </c>
      <c r="C54" s="17" t="s">
        <v>279</v>
      </c>
      <c r="D54" s="20" t="s">
        <v>167</v>
      </c>
      <c r="E54" s="17" t="s">
        <v>280</v>
      </c>
      <c r="F54" s="20" t="s">
        <v>109</v>
      </c>
      <c r="G54" s="17" t="s">
        <v>74</v>
      </c>
      <c r="H54" s="20" t="s">
        <v>174</v>
      </c>
      <c r="I54" s="20" t="s">
        <v>175</v>
      </c>
      <c r="J54" s="17" t="s">
        <v>27</v>
      </c>
      <c r="K54" s="17" t="s">
        <v>281</v>
      </c>
      <c r="L54" s="20" t="s">
        <v>13</v>
      </c>
      <c r="M54" s="20" t="s">
        <v>78</v>
      </c>
      <c r="N54" s="18">
        <v>198.88</v>
      </c>
      <c r="O54" s="20">
        <v>5</v>
      </c>
      <c r="P54" s="5">
        <v>0</v>
      </c>
      <c r="Q54" s="18">
        <v>52.49</v>
      </c>
    </row>
    <row r="55" spans="1:17" x14ac:dyDescent="0.35">
      <c r="A55" s="17" t="s">
        <v>383</v>
      </c>
      <c r="B55" s="17" t="s">
        <v>384</v>
      </c>
      <c r="C55" s="17" t="s">
        <v>291</v>
      </c>
      <c r="D55" s="20" t="s">
        <v>167</v>
      </c>
      <c r="E55" s="17" t="s">
        <v>385</v>
      </c>
      <c r="F55" s="20" t="s">
        <v>109</v>
      </c>
      <c r="G55" s="17" t="s">
        <v>74</v>
      </c>
      <c r="H55" s="20" t="s">
        <v>136</v>
      </c>
      <c r="I55" s="20" t="s">
        <v>137</v>
      </c>
      <c r="J55" s="17" t="s">
        <v>23</v>
      </c>
      <c r="K55" s="17" t="s">
        <v>492</v>
      </c>
      <c r="L55" s="20" t="s">
        <v>13</v>
      </c>
      <c r="M55" s="20" t="s">
        <v>151</v>
      </c>
      <c r="N55" s="18">
        <v>49.68</v>
      </c>
      <c r="O55" s="20">
        <v>3</v>
      </c>
      <c r="P55" s="5">
        <v>0.4</v>
      </c>
      <c r="Q55" s="18">
        <v>-9.94</v>
      </c>
    </row>
    <row r="56" spans="1:17" x14ac:dyDescent="0.35">
      <c r="A56" s="17" t="s">
        <v>334</v>
      </c>
      <c r="B56" s="17" t="s">
        <v>227</v>
      </c>
      <c r="C56" s="17" t="s">
        <v>242</v>
      </c>
      <c r="D56" s="20" t="s">
        <v>71</v>
      </c>
      <c r="E56" s="17" t="s">
        <v>335</v>
      </c>
      <c r="F56" s="20" t="s">
        <v>109</v>
      </c>
      <c r="G56" s="17" t="s">
        <v>74</v>
      </c>
      <c r="H56" s="20" t="s">
        <v>275</v>
      </c>
      <c r="I56" s="20" t="s">
        <v>76</v>
      </c>
      <c r="J56" s="17" t="s">
        <v>23</v>
      </c>
      <c r="K56" s="17" t="s">
        <v>336</v>
      </c>
      <c r="L56" s="20" t="s">
        <v>13</v>
      </c>
      <c r="M56" s="20" t="s">
        <v>151</v>
      </c>
      <c r="N56" s="18">
        <v>140.99</v>
      </c>
      <c r="O56" s="20">
        <v>3</v>
      </c>
      <c r="P56" s="5">
        <v>0.1</v>
      </c>
      <c r="Q56" s="18">
        <v>30.97</v>
      </c>
    </row>
    <row r="57" spans="1:17" x14ac:dyDescent="0.35">
      <c r="A57" s="17" t="s">
        <v>89</v>
      </c>
      <c r="B57" s="17" t="s">
        <v>90</v>
      </c>
      <c r="C57" s="17" t="s">
        <v>91</v>
      </c>
      <c r="D57" s="20" t="s">
        <v>92</v>
      </c>
      <c r="E57" s="17" t="s">
        <v>93</v>
      </c>
      <c r="F57" s="20" t="s">
        <v>84</v>
      </c>
      <c r="G57" s="17" t="s">
        <v>74</v>
      </c>
      <c r="H57" s="20" t="s">
        <v>94</v>
      </c>
      <c r="I57" s="20" t="s">
        <v>95</v>
      </c>
      <c r="J57" s="17" t="s">
        <v>29</v>
      </c>
      <c r="K57" s="17" t="s">
        <v>96</v>
      </c>
      <c r="L57" s="20" t="s">
        <v>12</v>
      </c>
      <c r="M57" s="20" t="s">
        <v>97</v>
      </c>
      <c r="N57" s="18">
        <v>315.92</v>
      </c>
      <c r="O57" s="20">
        <v>6</v>
      </c>
      <c r="P57" s="5">
        <v>0.1</v>
      </c>
      <c r="Q57" s="18">
        <v>72.319999999999993</v>
      </c>
    </row>
    <row r="58" spans="1:17" x14ac:dyDescent="0.35">
      <c r="A58" s="17" t="s">
        <v>353</v>
      </c>
      <c r="B58" s="17" t="s">
        <v>354</v>
      </c>
      <c r="C58" s="17" t="s">
        <v>355</v>
      </c>
      <c r="D58" s="20" t="s">
        <v>71</v>
      </c>
      <c r="E58" s="17" t="s">
        <v>356</v>
      </c>
      <c r="F58" s="20" t="s">
        <v>109</v>
      </c>
      <c r="G58" s="17" t="s">
        <v>74</v>
      </c>
      <c r="H58" s="20" t="s">
        <v>275</v>
      </c>
      <c r="I58" s="20" t="s">
        <v>76</v>
      </c>
      <c r="J58" s="17" t="s">
        <v>23</v>
      </c>
      <c r="K58" s="17" t="s">
        <v>357</v>
      </c>
      <c r="L58" s="20" t="s">
        <v>13</v>
      </c>
      <c r="M58" s="20" t="s">
        <v>78</v>
      </c>
      <c r="N58" s="18">
        <v>131.69</v>
      </c>
      <c r="O58" s="20">
        <v>2</v>
      </c>
      <c r="P58" s="5">
        <v>0.2</v>
      </c>
      <c r="Q58" s="18">
        <v>19.62</v>
      </c>
    </row>
    <row r="59" spans="1:17" x14ac:dyDescent="0.35">
      <c r="A59" s="17" t="s">
        <v>182</v>
      </c>
      <c r="B59" s="17" t="s">
        <v>183</v>
      </c>
      <c r="C59" s="17" t="s">
        <v>184</v>
      </c>
      <c r="D59" s="20" t="s">
        <v>92</v>
      </c>
      <c r="E59" s="17" t="s">
        <v>185</v>
      </c>
      <c r="F59" s="20" t="s">
        <v>73</v>
      </c>
      <c r="G59" s="17" t="s">
        <v>74</v>
      </c>
      <c r="H59" s="20" t="s">
        <v>85</v>
      </c>
      <c r="I59" s="20" t="s">
        <v>86</v>
      </c>
      <c r="J59" s="17" t="s">
        <v>25</v>
      </c>
      <c r="K59" s="17" t="s">
        <v>186</v>
      </c>
      <c r="L59" s="20" t="s">
        <v>11</v>
      </c>
      <c r="M59" s="20" t="s">
        <v>41</v>
      </c>
      <c r="N59" s="18">
        <v>799.47</v>
      </c>
      <c r="O59" s="20">
        <v>1</v>
      </c>
      <c r="P59" s="5">
        <v>0.1</v>
      </c>
      <c r="Q59" s="18">
        <v>236.15</v>
      </c>
    </row>
    <row r="60" spans="1:17" x14ac:dyDescent="0.35">
      <c r="A60" s="17" t="s">
        <v>296</v>
      </c>
      <c r="B60" s="17" t="s">
        <v>297</v>
      </c>
      <c r="C60" s="17" t="s">
        <v>298</v>
      </c>
      <c r="D60" s="20" t="s">
        <v>71</v>
      </c>
      <c r="E60" s="17" t="s">
        <v>299</v>
      </c>
      <c r="F60" s="20" t="s">
        <v>73</v>
      </c>
      <c r="G60" s="17" t="s">
        <v>74</v>
      </c>
      <c r="H60" s="20" t="s">
        <v>75</v>
      </c>
      <c r="I60" s="20" t="s">
        <v>76</v>
      </c>
      <c r="J60" s="17" t="s">
        <v>23</v>
      </c>
      <c r="K60" s="17" t="s">
        <v>300</v>
      </c>
      <c r="L60" s="20" t="s">
        <v>12</v>
      </c>
      <c r="M60" s="20" t="s">
        <v>45</v>
      </c>
      <c r="N60" s="18">
        <v>317.77999999999997</v>
      </c>
      <c r="O60" s="20">
        <v>7</v>
      </c>
      <c r="P60" s="5">
        <v>0.3</v>
      </c>
      <c r="Q60" s="18">
        <v>-40.69</v>
      </c>
    </row>
    <row r="61" spans="1:17" x14ac:dyDescent="0.35">
      <c r="A61" s="17" t="s">
        <v>387</v>
      </c>
      <c r="B61" s="17" t="s">
        <v>388</v>
      </c>
      <c r="C61" s="17" t="s">
        <v>389</v>
      </c>
      <c r="D61" s="20" t="s">
        <v>71</v>
      </c>
      <c r="E61" s="17" t="s">
        <v>390</v>
      </c>
      <c r="F61" s="20" t="s">
        <v>73</v>
      </c>
      <c r="G61" s="17" t="s">
        <v>74</v>
      </c>
      <c r="H61" s="20" t="s">
        <v>229</v>
      </c>
      <c r="I61" s="20" t="s">
        <v>230</v>
      </c>
      <c r="J61" s="17" t="s">
        <v>29</v>
      </c>
      <c r="K61" s="17" t="s">
        <v>391</v>
      </c>
      <c r="L61" s="20" t="s">
        <v>11</v>
      </c>
      <c r="M61" s="20" t="s">
        <v>104</v>
      </c>
      <c r="N61" s="18">
        <v>1130.99</v>
      </c>
      <c r="O61" s="20">
        <v>8</v>
      </c>
      <c r="P61" s="5">
        <v>0.5</v>
      </c>
      <c r="Q61" s="18">
        <v>-191.12</v>
      </c>
    </row>
    <row r="62" spans="1:17" x14ac:dyDescent="0.35">
      <c r="A62" s="17" t="s">
        <v>430</v>
      </c>
      <c r="B62" s="17" t="s">
        <v>431</v>
      </c>
      <c r="C62" s="17" t="s">
        <v>432</v>
      </c>
      <c r="D62" s="20" t="s">
        <v>101</v>
      </c>
      <c r="E62" s="17" t="s">
        <v>433</v>
      </c>
      <c r="F62" s="20" t="s">
        <v>109</v>
      </c>
      <c r="G62" s="17" t="s">
        <v>74</v>
      </c>
      <c r="H62" s="20" t="s">
        <v>122</v>
      </c>
      <c r="I62" s="20" t="s">
        <v>123</v>
      </c>
      <c r="J62" s="17" t="s">
        <v>25</v>
      </c>
      <c r="K62" s="17" t="s">
        <v>434</v>
      </c>
      <c r="L62" s="20" t="s">
        <v>11</v>
      </c>
      <c r="M62" s="20" t="s">
        <v>104</v>
      </c>
      <c r="N62" s="18">
        <v>1148.18</v>
      </c>
      <c r="O62" s="20">
        <v>8</v>
      </c>
      <c r="P62" s="5">
        <v>0.25</v>
      </c>
      <c r="Q62" s="18">
        <v>-319.2</v>
      </c>
    </row>
    <row r="63" spans="1:17" x14ac:dyDescent="0.35">
      <c r="A63" s="17" t="s">
        <v>215</v>
      </c>
      <c r="B63" s="17" t="s">
        <v>216</v>
      </c>
      <c r="C63" s="17" t="s">
        <v>217</v>
      </c>
      <c r="D63" s="20" t="s">
        <v>71</v>
      </c>
      <c r="E63" s="17" t="s">
        <v>218</v>
      </c>
      <c r="F63" s="20" t="s">
        <v>73</v>
      </c>
      <c r="G63" s="17" t="s">
        <v>74</v>
      </c>
      <c r="H63" s="20" t="s">
        <v>191</v>
      </c>
      <c r="I63" s="20" t="s">
        <v>192</v>
      </c>
      <c r="J63" s="17" t="s">
        <v>23</v>
      </c>
      <c r="K63" s="17" t="s">
        <v>219</v>
      </c>
      <c r="L63" s="20" t="s">
        <v>11</v>
      </c>
      <c r="M63" s="20" t="s">
        <v>43</v>
      </c>
      <c r="N63" s="18">
        <v>51.04</v>
      </c>
      <c r="O63" s="20">
        <v>4</v>
      </c>
      <c r="P63" s="5">
        <v>0.05</v>
      </c>
      <c r="Q63" s="18">
        <v>12.65</v>
      </c>
    </row>
    <row r="64" spans="1:17" x14ac:dyDescent="0.35">
      <c r="A64" s="17" t="s">
        <v>405</v>
      </c>
      <c r="B64" s="17" t="s">
        <v>406</v>
      </c>
      <c r="C64" s="17" t="s">
        <v>407</v>
      </c>
      <c r="D64" s="20" t="s">
        <v>167</v>
      </c>
      <c r="E64" s="17" t="s">
        <v>408</v>
      </c>
      <c r="F64" s="20" t="s">
        <v>73</v>
      </c>
      <c r="G64" s="17" t="s">
        <v>74</v>
      </c>
      <c r="H64" s="20" t="s">
        <v>75</v>
      </c>
      <c r="I64" s="20" t="s">
        <v>76</v>
      </c>
      <c r="J64" s="17" t="s">
        <v>23</v>
      </c>
      <c r="K64" s="17" t="s">
        <v>409</v>
      </c>
      <c r="L64" s="20" t="s">
        <v>12</v>
      </c>
      <c r="M64" s="20" t="s">
        <v>131</v>
      </c>
      <c r="N64" s="18">
        <v>191.27</v>
      </c>
      <c r="O64" s="20">
        <v>4</v>
      </c>
      <c r="P64" s="5">
        <v>0.1</v>
      </c>
      <c r="Q64" s="18">
        <v>27.91</v>
      </c>
    </row>
    <row r="65" spans="1:17" x14ac:dyDescent="0.35">
      <c r="A65" s="17" t="s">
        <v>225</v>
      </c>
      <c r="B65" s="17" t="s">
        <v>226</v>
      </c>
      <c r="C65" s="17" t="s">
        <v>227</v>
      </c>
      <c r="D65" s="20" t="s">
        <v>71</v>
      </c>
      <c r="E65" s="17" t="s">
        <v>228</v>
      </c>
      <c r="F65" s="20" t="s">
        <v>84</v>
      </c>
      <c r="G65" s="17" t="s">
        <v>74</v>
      </c>
      <c r="H65" s="20" t="s">
        <v>229</v>
      </c>
      <c r="I65" s="20" t="s">
        <v>230</v>
      </c>
      <c r="J65" s="17" t="s">
        <v>29</v>
      </c>
      <c r="K65" s="17" t="s">
        <v>231</v>
      </c>
      <c r="L65" s="20" t="s">
        <v>11</v>
      </c>
      <c r="M65" s="20" t="s">
        <v>39</v>
      </c>
      <c r="N65" s="18">
        <v>1428.26</v>
      </c>
      <c r="O65" s="20">
        <v>1</v>
      </c>
      <c r="P65" s="5">
        <v>0.2</v>
      </c>
      <c r="Q65" s="18">
        <v>338.79</v>
      </c>
    </row>
    <row r="66" spans="1:17" x14ac:dyDescent="0.35">
      <c r="A66" s="17" t="s">
        <v>112</v>
      </c>
      <c r="B66" s="17" t="s">
        <v>113</v>
      </c>
      <c r="C66" s="17" t="s">
        <v>114</v>
      </c>
      <c r="D66" s="20" t="s">
        <v>101</v>
      </c>
      <c r="E66" s="17" t="s">
        <v>115</v>
      </c>
      <c r="F66" s="20" t="s">
        <v>84</v>
      </c>
      <c r="G66" s="17" t="s">
        <v>74</v>
      </c>
      <c r="H66" s="20" t="s">
        <v>116</v>
      </c>
      <c r="I66" s="20" t="s">
        <v>117</v>
      </c>
      <c r="J66" s="17" t="s">
        <v>29</v>
      </c>
      <c r="K66" s="17" t="s">
        <v>118</v>
      </c>
      <c r="L66" s="20" t="s">
        <v>11</v>
      </c>
      <c r="M66" s="20" t="s">
        <v>39</v>
      </c>
      <c r="N66" s="18">
        <v>347.99</v>
      </c>
      <c r="O66" s="20">
        <v>2</v>
      </c>
      <c r="P66" s="5">
        <v>0.15</v>
      </c>
      <c r="Q66" s="18">
        <v>99.82</v>
      </c>
    </row>
    <row r="67" spans="1:17" x14ac:dyDescent="0.35">
      <c r="A67" s="17" t="s">
        <v>119</v>
      </c>
      <c r="B67" s="17" t="s">
        <v>82</v>
      </c>
      <c r="C67" s="17" t="s">
        <v>120</v>
      </c>
      <c r="D67" s="20" t="s">
        <v>101</v>
      </c>
      <c r="E67" s="17" t="s">
        <v>121</v>
      </c>
      <c r="F67" s="20" t="s">
        <v>109</v>
      </c>
      <c r="G67" s="17" t="s">
        <v>74</v>
      </c>
      <c r="H67" s="20" t="s">
        <v>122</v>
      </c>
      <c r="I67" s="20" t="s">
        <v>123</v>
      </c>
      <c r="J67" s="17" t="s">
        <v>25</v>
      </c>
      <c r="K67" s="17" t="s">
        <v>124</v>
      </c>
      <c r="L67" s="20" t="s">
        <v>11</v>
      </c>
      <c r="M67" s="20" t="s">
        <v>104</v>
      </c>
      <c r="N67" s="18">
        <v>1157.1199999999999</v>
      </c>
      <c r="O67" s="20">
        <v>2</v>
      </c>
      <c r="P67" s="5">
        <v>0.35</v>
      </c>
      <c r="Q67" s="18">
        <v>-267.75</v>
      </c>
    </row>
    <row r="68" spans="1:17" x14ac:dyDescent="0.35">
      <c r="A68" s="17" t="s">
        <v>427</v>
      </c>
      <c r="B68" s="17" t="s">
        <v>179</v>
      </c>
      <c r="C68" s="17" t="s">
        <v>321</v>
      </c>
      <c r="D68" s="20" t="s">
        <v>92</v>
      </c>
      <c r="E68" s="17" t="s">
        <v>428</v>
      </c>
      <c r="F68" s="20" t="s">
        <v>109</v>
      </c>
      <c r="G68" s="17" t="s">
        <v>74</v>
      </c>
      <c r="H68" s="20" t="s">
        <v>75</v>
      </c>
      <c r="I68" s="20" t="s">
        <v>76</v>
      </c>
      <c r="J68" s="17" t="s">
        <v>23</v>
      </c>
      <c r="K68" s="17" t="s">
        <v>429</v>
      </c>
      <c r="L68" s="20" t="s">
        <v>13</v>
      </c>
      <c r="M68" s="20" t="s">
        <v>78</v>
      </c>
      <c r="N68" s="18">
        <v>141.79</v>
      </c>
      <c r="O68" s="20">
        <v>3</v>
      </c>
      <c r="P68" s="5">
        <v>0.1</v>
      </c>
      <c r="Q68" s="18">
        <v>26.99</v>
      </c>
    </row>
    <row r="69" spans="1:17" x14ac:dyDescent="0.35">
      <c r="A69" s="17" t="s">
        <v>119</v>
      </c>
      <c r="B69" s="17" t="s">
        <v>82</v>
      </c>
      <c r="C69" s="17" t="s">
        <v>120</v>
      </c>
      <c r="D69" s="20" t="s">
        <v>101</v>
      </c>
      <c r="E69" s="17" t="s">
        <v>121</v>
      </c>
      <c r="F69" s="20" t="s">
        <v>109</v>
      </c>
      <c r="G69" s="17" t="s">
        <v>74</v>
      </c>
      <c r="H69" s="20" t="s">
        <v>122</v>
      </c>
      <c r="I69" s="20" t="s">
        <v>123</v>
      </c>
      <c r="J69" s="17" t="s">
        <v>25</v>
      </c>
      <c r="K69" s="17" t="s">
        <v>493</v>
      </c>
      <c r="L69" s="20" t="s">
        <v>13</v>
      </c>
      <c r="M69" s="20" t="s">
        <v>417</v>
      </c>
      <c r="N69" s="18">
        <v>237.05</v>
      </c>
      <c r="O69" s="20">
        <v>3</v>
      </c>
      <c r="P69" s="5">
        <v>0</v>
      </c>
      <c r="Q69" s="18">
        <v>59.26</v>
      </c>
    </row>
    <row r="70" spans="1:17" x14ac:dyDescent="0.35">
      <c r="A70" s="17" t="s">
        <v>201</v>
      </c>
      <c r="B70" s="17" t="s">
        <v>202</v>
      </c>
      <c r="C70" s="17" t="s">
        <v>203</v>
      </c>
      <c r="D70" s="20" t="s">
        <v>167</v>
      </c>
      <c r="E70" s="17" t="s">
        <v>204</v>
      </c>
      <c r="F70" s="20" t="s">
        <v>84</v>
      </c>
      <c r="G70" s="17" t="s">
        <v>74</v>
      </c>
      <c r="H70" s="20" t="s">
        <v>143</v>
      </c>
      <c r="I70" s="20" t="s">
        <v>144</v>
      </c>
      <c r="J70" s="17" t="s">
        <v>27</v>
      </c>
      <c r="K70" s="17" t="s">
        <v>205</v>
      </c>
      <c r="L70" s="20" t="s">
        <v>11</v>
      </c>
      <c r="M70" s="20" t="s">
        <v>104</v>
      </c>
      <c r="N70" s="18">
        <v>607.98</v>
      </c>
      <c r="O70" s="20">
        <v>4</v>
      </c>
      <c r="P70" s="5">
        <v>0.7</v>
      </c>
      <c r="Q70" s="18">
        <v>-105.91</v>
      </c>
    </row>
    <row r="71" spans="1:17" x14ac:dyDescent="0.35">
      <c r="A71" s="17" t="s">
        <v>477</v>
      </c>
      <c r="B71" s="17" t="s">
        <v>478</v>
      </c>
      <c r="C71" s="17" t="s">
        <v>479</v>
      </c>
      <c r="D71" s="20" t="s">
        <v>167</v>
      </c>
      <c r="E71" s="17" t="s">
        <v>480</v>
      </c>
      <c r="F71" s="20" t="s">
        <v>109</v>
      </c>
      <c r="G71" s="17" t="s">
        <v>74</v>
      </c>
      <c r="H71" s="20" t="s">
        <v>155</v>
      </c>
      <c r="I71" s="20" t="s">
        <v>156</v>
      </c>
      <c r="J71" s="17" t="s">
        <v>25</v>
      </c>
      <c r="K71" s="17" t="s">
        <v>481</v>
      </c>
      <c r="L71" s="20" t="s">
        <v>12</v>
      </c>
      <c r="M71" s="20" t="s">
        <v>131</v>
      </c>
      <c r="N71" s="18">
        <v>197.62</v>
      </c>
      <c r="O71" s="20">
        <v>2</v>
      </c>
      <c r="P71" s="5">
        <v>0</v>
      </c>
      <c r="Q71" s="18">
        <v>44.16</v>
      </c>
    </row>
    <row r="72" spans="1:17" x14ac:dyDescent="0.35">
      <c r="A72" s="17" t="s">
        <v>320</v>
      </c>
      <c r="B72" s="17" t="s">
        <v>321</v>
      </c>
      <c r="C72" s="17" t="s">
        <v>322</v>
      </c>
      <c r="D72" s="20" t="s">
        <v>167</v>
      </c>
      <c r="E72" s="17" t="s">
        <v>323</v>
      </c>
      <c r="F72" s="20" t="s">
        <v>84</v>
      </c>
      <c r="G72" s="17" t="s">
        <v>74</v>
      </c>
      <c r="H72" s="20" t="s">
        <v>155</v>
      </c>
      <c r="I72" s="20" t="s">
        <v>156</v>
      </c>
      <c r="J72" s="17" t="s">
        <v>25</v>
      </c>
      <c r="K72" s="17" t="s">
        <v>324</v>
      </c>
      <c r="L72" s="20" t="s">
        <v>11</v>
      </c>
      <c r="M72" s="20" t="s">
        <v>104</v>
      </c>
      <c r="N72" s="18">
        <v>275.76</v>
      </c>
      <c r="O72" s="20">
        <v>8</v>
      </c>
      <c r="P72" s="5">
        <v>0.25</v>
      </c>
      <c r="Q72" s="18">
        <v>-111.52</v>
      </c>
    </row>
    <row r="73" spans="1:17" x14ac:dyDescent="0.35">
      <c r="A73" s="17" t="s">
        <v>259</v>
      </c>
      <c r="B73" s="17" t="s">
        <v>250</v>
      </c>
      <c r="C73" s="17" t="s">
        <v>260</v>
      </c>
      <c r="D73" s="20" t="s">
        <v>167</v>
      </c>
      <c r="E73" s="17" t="s">
        <v>261</v>
      </c>
      <c r="F73" s="20" t="s">
        <v>109</v>
      </c>
      <c r="G73" s="17" t="s">
        <v>74</v>
      </c>
      <c r="H73" s="20" t="s">
        <v>252</v>
      </c>
      <c r="I73" s="20" t="s">
        <v>199</v>
      </c>
      <c r="J73" s="17" t="s">
        <v>27</v>
      </c>
      <c r="K73" s="17" t="s">
        <v>494</v>
      </c>
      <c r="L73" s="20" t="s">
        <v>11</v>
      </c>
      <c r="M73" s="20" t="s">
        <v>43</v>
      </c>
      <c r="N73" s="18">
        <v>36.83</v>
      </c>
      <c r="O73" s="20">
        <v>3</v>
      </c>
      <c r="P73" s="5">
        <v>0.4</v>
      </c>
      <c r="Q73" s="18">
        <v>-7.37</v>
      </c>
    </row>
    <row r="74" spans="1:17" x14ac:dyDescent="0.35">
      <c r="A74" s="17" t="s">
        <v>206</v>
      </c>
      <c r="B74" s="17" t="s">
        <v>81</v>
      </c>
      <c r="C74" s="17" t="s">
        <v>166</v>
      </c>
      <c r="D74" s="20" t="s">
        <v>92</v>
      </c>
      <c r="E74" s="17" t="s">
        <v>207</v>
      </c>
      <c r="F74" s="20" t="s">
        <v>73</v>
      </c>
      <c r="G74" s="17" t="s">
        <v>74</v>
      </c>
      <c r="H74" s="20" t="s">
        <v>75</v>
      </c>
      <c r="I74" s="20" t="s">
        <v>76</v>
      </c>
      <c r="J74" s="17" t="s">
        <v>23</v>
      </c>
      <c r="K74" s="17" t="s">
        <v>208</v>
      </c>
      <c r="L74" s="20" t="s">
        <v>12</v>
      </c>
      <c r="M74" s="20" t="s">
        <v>45</v>
      </c>
      <c r="N74" s="18">
        <v>260.27</v>
      </c>
      <c r="O74" s="20">
        <v>5</v>
      </c>
      <c r="P74" s="5">
        <v>0</v>
      </c>
      <c r="Q74" s="18">
        <v>78.400000000000006</v>
      </c>
    </row>
    <row r="75" spans="1:17" x14ac:dyDescent="0.35">
      <c r="A75" s="17" t="s">
        <v>68</v>
      </c>
      <c r="B75" s="17" t="s">
        <v>69</v>
      </c>
      <c r="C75" s="17" t="s">
        <v>70</v>
      </c>
      <c r="D75" s="20" t="s">
        <v>71</v>
      </c>
      <c r="E75" s="17" t="s">
        <v>72</v>
      </c>
      <c r="F75" s="20" t="s">
        <v>73</v>
      </c>
      <c r="G75" s="17" t="s">
        <v>74</v>
      </c>
      <c r="H75" s="20" t="s">
        <v>75</v>
      </c>
      <c r="I75" s="20" t="s">
        <v>76</v>
      </c>
      <c r="J75" s="17" t="s">
        <v>23</v>
      </c>
      <c r="K75" s="17" t="s">
        <v>77</v>
      </c>
      <c r="L75" s="20" t="s">
        <v>13</v>
      </c>
      <c r="M75" s="20" t="s">
        <v>78</v>
      </c>
      <c r="N75" s="18">
        <v>177.72</v>
      </c>
      <c r="O75" s="20">
        <v>8</v>
      </c>
      <c r="P75" s="5">
        <v>0</v>
      </c>
      <c r="Q75" s="18">
        <v>28.3</v>
      </c>
    </row>
    <row r="76" spans="1:17" x14ac:dyDescent="0.35">
      <c r="A76" s="17" t="s">
        <v>329</v>
      </c>
      <c r="B76" s="17" t="s">
        <v>330</v>
      </c>
      <c r="C76" s="17" t="s">
        <v>331</v>
      </c>
      <c r="D76" s="20" t="s">
        <v>167</v>
      </c>
      <c r="E76" s="17" t="s">
        <v>332</v>
      </c>
      <c r="F76" s="20" t="s">
        <v>109</v>
      </c>
      <c r="G76" s="17" t="s">
        <v>74</v>
      </c>
      <c r="H76" s="20" t="s">
        <v>122</v>
      </c>
      <c r="I76" s="20" t="s">
        <v>123</v>
      </c>
      <c r="J76" s="17" t="s">
        <v>25</v>
      </c>
      <c r="K76" s="17" t="s">
        <v>495</v>
      </c>
      <c r="L76" s="20" t="s">
        <v>11</v>
      </c>
      <c r="M76" s="20" t="s">
        <v>41</v>
      </c>
      <c r="N76" s="18">
        <v>224.24</v>
      </c>
      <c r="O76" s="20">
        <v>1</v>
      </c>
      <c r="P76" s="5">
        <v>0.4</v>
      </c>
      <c r="Q76" s="18">
        <v>-44.85</v>
      </c>
    </row>
    <row r="77" spans="1:17" x14ac:dyDescent="0.35">
      <c r="A77" s="17" t="s">
        <v>383</v>
      </c>
      <c r="B77" s="17" t="s">
        <v>384</v>
      </c>
      <c r="C77" s="17" t="s">
        <v>291</v>
      </c>
      <c r="D77" s="20" t="s">
        <v>167</v>
      </c>
      <c r="E77" s="17" t="s">
        <v>385</v>
      </c>
      <c r="F77" s="20" t="s">
        <v>109</v>
      </c>
      <c r="G77" s="17" t="s">
        <v>74</v>
      </c>
      <c r="H77" s="20" t="s">
        <v>136</v>
      </c>
      <c r="I77" s="20" t="s">
        <v>137</v>
      </c>
      <c r="J77" s="17" t="s">
        <v>23</v>
      </c>
      <c r="K77" s="17" t="s">
        <v>386</v>
      </c>
      <c r="L77" s="20" t="s">
        <v>13</v>
      </c>
      <c r="M77" s="20" t="s">
        <v>78</v>
      </c>
      <c r="N77" s="18">
        <v>57.68</v>
      </c>
      <c r="O77" s="20">
        <v>1</v>
      </c>
      <c r="P77" s="5">
        <v>0.1</v>
      </c>
      <c r="Q77" s="18">
        <v>6.59</v>
      </c>
    </row>
    <row r="78" spans="1:17" x14ac:dyDescent="0.35">
      <c r="A78" s="17" t="s">
        <v>301</v>
      </c>
      <c r="B78" s="17" t="s">
        <v>140</v>
      </c>
      <c r="C78" s="17" t="s">
        <v>302</v>
      </c>
      <c r="D78" s="20" t="s">
        <v>92</v>
      </c>
      <c r="E78" s="17" t="s">
        <v>303</v>
      </c>
      <c r="F78" s="20" t="s">
        <v>73</v>
      </c>
      <c r="G78" s="17" t="s">
        <v>74</v>
      </c>
      <c r="H78" s="20" t="s">
        <v>162</v>
      </c>
      <c r="I78" s="20" t="s">
        <v>163</v>
      </c>
      <c r="J78" s="17" t="s">
        <v>25</v>
      </c>
      <c r="K78" s="17" t="s">
        <v>496</v>
      </c>
      <c r="L78" s="20" t="s">
        <v>12</v>
      </c>
      <c r="M78" s="20" t="s">
        <v>45</v>
      </c>
      <c r="N78" s="18">
        <v>71.12</v>
      </c>
      <c r="O78" s="20">
        <v>1</v>
      </c>
      <c r="P78" s="5">
        <v>0.4</v>
      </c>
      <c r="Q78" s="18">
        <v>-14.22</v>
      </c>
    </row>
    <row r="79" spans="1:17" x14ac:dyDescent="0.35">
      <c r="A79" s="17" t="s">
        <v>363</v>
      </c>
      <c r="B79" s="17" t="s">
        <v>364</v>
      </c>
      <c r="C79" s="17" t="s">
        <v>365</v>
      </c>
      <c r="D79" s="20" t="s">
        <v>92</v>
      </c>
      <c r="E79" s="17" t="s">
        <v>366</v>
      </c>
      <c r="F79" s="20" t="s">
        <v>84</v>
      </c>
      <c r="G79" s="17" t="s">
        <v>74</v>
      </c>
      <c r="H79" s="20" t="s">
        <v>75</v>
      </c>
      <c r="I79" s="20" t="s">
        <v>76</v>
      </c>
      <c r="J79" s="17" t="s">
        <v>23</v>
      </c>
      <c r="K79" s="17" t="s">
        <v>367</v>
      </c>
      <c r="L79" s="20" t="s">
        <v>12</v>
      </c>
      <c r="M79" s="20" t="s">
        <v>368</v>
      </c>
      <c r="N79" s="18">
        <v>41.34</v>
      </c>
      <c r="O79" s="20">
        <v>5</v>
      </c>
      <c r="P79" s="5">
        <v>0.1</v>
      </c>
      <c r="Q79" s="18">
        <v>11.36</v>
      </c>
    </row>
    <row r="80" spans="1:17" x14ac:dyDescent="0.35">
      <c r="A80" s="17" t="s">
        <v>241</v>
      </c>
      <c r="B80" s="17" t="s">
        <v>242</v>
      </c>
      <c r="C80" s="17" t="s">
        <v>243</v>
      </c>
      <c r="D80" s="20" t="s">
        <v>101</v>
      </c>
      <c r="E80" s="17" t="s">
        <v>244</v>
      </c>
      <c r="F80" s="20" t="s">
        <v>109</v>
      </c>
      <c r="G80" s="17" t="s">
        <v>74</v>
      </c>
      <c r="H80" s="20" t="s">
        <v>245</v>
      </c>
      <c r="I80" s="20" t="s">
        <v>246</v>
      </c>
      <c r="J80" s="17" t="s">
        <v>29</v>
      </c>
      <c r="K80" s="17" t="s">
        <v>497</v>
      </c>
      <c r="L80" s="20" t="s">
        <v>13</v>
      </c>
      <c r="M80" s="20" t="s">
        <v>151</v>
      </c>
      <c r="N80" s="18">
        <v>276.69</v>
      </c>
      <c r="O80" s="20">
        <v>4</v>
      </c>
      <c r="P80" s="5">
        <v>0.4</v>
      </c>
      <c r="Q80" s="18">
        <v>-55.34</v>
      </c>
    </row>
    <row r="81" spans="1:17" x14ac:dyDescent="0.35">
      <c r="A81" s="17" t="s">
        <v>232</v>
      </c>
      <c r="B81" s="17" t="s">
        <v>233</v>
      </c>
      <c r="C81" s="17" t="s">
        <v>202</v>
      </c>
      <c r="D81" s="20" t="s">
        <v>71</v>
      </c>
      <c r="E81" s="17" t="s">
        <v>234</v>
      </c>
      <c r="F81" s="20" t="s">
        <v>84</v>
      </c>
      <c r="G81" s="17" t="s">
        <v>74</v>
      </c>
      <c r="H81" s="20" t="s">
        <v>143</v>
      </c>
      <c r="I81" s="20" t="s">
        <v>144</v>
      </c>
      <c r="J81" s="17" t="s">
        <v>27</v>
      </c>
      <c r="K81" s="17" t="s">
        <v>235</v>
      </c>
      <c r="L81" s="20" t="s">
        <v>11</v>
      </c>
      <c r="M81" s="20" t="s">
        <v>41</v>
      </c>
      <c r="N81" s="18">
        <v>1414.14</v>
      </c>
      <c r="O81" s="20">
        <v>8</v>
      </c>
      <c r="P81" s="5">
        <v>0.2</v>
      </c>
      <c r="Q81" s="18">
        <v>283.19</v>
      </c>
    </row>
    <row r="82" spans="1:17" x14ac:dyDescent="0.35">
      <c r="A82" s="17" t="s">
        <v>444</v>
      </c>
      <c r="B82" s="17" t="s">
        <v>233</v>
      </c>
      <c r="C82" s="17" t="s">
        <v>445</v>
      </c>
      <c r="D82" s="20" t="s">
        <v>71</v>
      </c>
      <c r="E82" s="17" t="s">
        <v>446</v>
      </c>
      <c r="F82" s="20" t="s">
        <v>73</v>
      </c>
      <c r="G82" s="17" t="s">
        <v>74</v>
      </c>
      <c r="H82" s="20" t="s">
        <v>155</v>
      </c>
      <c r="I82" s="20" t="s">
        <v>156</v>
      </c>
      <c r="J82" s="17" t="s">
        <v>25</v>
      </c>
      <c r="K82" s="17" t="s">
        <v>447</v>
      </c>
      <c r="L82" s="20" t="s">
        <v>11</v>
      </c>
      <c r="M82" s="20" t="s">
        <v>43</v>
      </c>
      <c r="N82" s="18">
        <v>294.02999999999997</v>
      </c>
      <c r="O82" s="20">
        <v>1</v>
      </c>
      <c r="P82" s="5">
        <v>0.1</v>
      </c>
      <c r="Q82" s="18">
        <v>55.96</v>
      </c>
    </row>
    <row r="83" spans="1:17" x14ac:dyDescent="0.35">
      <c r="A83" s="17" t="s">
        <v>158</v>
      </c>
      <c r="B83" s="17" t="s">
        <v>159</v>
      </c>
      <c r="C83" s="17" t="s">
        <v>160</v>
      </c>
      <c r="D83" s="20" t="s">
        <v>92</v>
      </c>
      <c r="E83" s="17" t="s">
        <v>161</v>
      </c>
      <c r="F83" s="20" t="s">
        <v>73</v>
      </c>
      <c r="G83" s="17" t="s">
        <v>74</v>
      </c>
      <c r="H83" s="20" t="s">
        <v>162</v>
      </c>
      <c r="I83" s="20" t="s">
        <v>163</v>
      </c>
      <c r="J83" s="17" t="s">
        <v>25</v>
      </c>
      <c r="K83" s="17" t="s">
        <v>498</v>
      </c>
      <c r="L83" s="20" t="s">
        <v>12</v>
      </c>
      <c r="M83" s="20" t="s">
        <v>131</v>
      </c>
      <c r="N83" s="18">
        <v>128.12</v>
      </c>
      <c r="O83" s="20">
        <v>4</v>
      </c>
      <c r="P83" s="5">
        <v>0.4</v>
      </c>
      <c r="Q83" s="18">
        <v>-25.62</v>
      </c>
    </row>
    <row r="84" spans="1:17" x14ac:dyDescent="0.35">
      <c r="A84" s="17" t="s">
        <v>468</v>
      </c>
      <c r="B84" s="17" t="s">
        <v>469</v>
      </c>
      <c r="C84" s="17" t="s">
        <v>470</v>
      </c>
      <c r="D84" s="20" t="s">
        <v>101</v>
      </c>
      <c r="E84" s="17" t="s">
        <v>471</v>
      </c>
      <c r="F84" s="20" t="s">
        <v>109</v>
      </c>
      <c r="G84" s="17" t="s">
        <v>74</v>
      </c>
      <c r="H84" s="20" t="s">
        <v>229</v>
      </c>
      <c r="I84" s="20" t="s">
        <v>230</v>
      </c>
      <c r="J84" s="17" t="s">
        <v>29</v>
      </c>
      <c r="K84" s="17" t="s">
        <v>472</v>
      </c>
      <c r="L84" s="20" t="s">
        <v>11</v>
      </c>
      <c r="M84" s="20" t="s">
        <v>39</v>
      </c>
      <c r="N84" s="18">
        <v>823.77</v>
      </c>
      <c r="O84" s="20">
        <v>2</v>
      </c>
      <c r="P84" s="5">
        <v>0.1</v>
      </c>
      <c r="Q84" s="18">
        <v>216.7</v>
      </c>
    </row>
    <row r="85" spans="1:17" x14ac:dyDescent="0.35">
      <c r="A85" s="17" t="s">
        <v>414</v>
      </c>
      <c r="B85" s="17" t="s">
        <v>379</v>
      </c>
      <c r="C85" s="17" t="s">
        <v>380</v>
      </c>
      <c r="D85" s="20" t="s">
        <v>101</v>
      </c>
      <c r="E85" s="17" t="s">
        <v>415</v>
      </c>
      <c r="F85" s="20" t="s">
        <v>73</v>
      </c>
      <c r="G85" s="17" t="s">
        <v>74</v>
      </c>
      <c r="H85" s="20" t="s">
        <v>143</v>
      </c>
      <c r="I85" s="20" t="s">
        <v>144</v>
      </c>
      <c r="J85" s="17" t="s">
        <v>27</v>
      </c>
      <c r="K85" s="17" t="s">
        <v>416</v>
      </c>
      <c r="L85" s="20" t="s">
        <v>13</v>
      </c>
      <c r="M85" s="20" t="s">
        <v>417</v>
      </c>
      <c r="N85" s="18">
        <v>205.99</v>
      </c>
      <c r="O85" s="20">
        <v>2</v>
      </c>
      <c r="P85" s="5">
        <v>0.15</v>
      </c>
      <c r="Q85" s="18">
        <v>14.91</v>
      </c>
    </row>
    <row r="86" spans="1:17" x14ac:dyDescent="0.35">
      <c r="A86" s="17" t="s">
        <v>254</v>
      </c>
      <c r="B86" s="17" t="s">
        <v>255</v>
      </c>
      <c r="C86" s="17" t="s">
        <v>256</v>
      </c>
      <c r="D86" s="20" t="s">
        <v>92</v>
      </c>
      <c r="E86" s="17" t="s">
        <v>257</v>
      </c>
      <c r="F86" s="20" t="s">
        <v>73</v>
      </c>
      <c r="G86" s="17" t="s">
        <v>74</v>
      </c>
      <c r="H86" s="20" t="s">
        <v>116</v>
      </c>
      <c r="I86" s="20" t="s">
        <v>117</v>
      </c>
      <c r="J86" s="17" t="s">
        <v>29</v>
      </c>
      <c r="K86" s="17" t="s">
        <v>258</v>
      </c>
      <c r="L86" s="20" t="s">
        <v>11</v>
      </c>
      <c r="M86" s="20" t="s">
        <v>41</v>
      </c>
      <c r="N86" s="18">
        <v>1048.5999999999999</v>
      </c>
      <c r="O86" s="20">
        <v>3</v>
      </c>
      <c r="P86" s="5">
        <v>0.2</v>
      </c>
      <c r="Q86" s="18">
        <v>354.99</v>
      </c>
    </row>
    <row r="87" spans="1:17" x14ac:dyDescent="0.35">
      <c r="A87" s="17" t="s">
        <v>241</v>
      </c>
      <c r="B87" s="17" t="s">
        <v>242</v>
      </c>
      <c r="C87" s="17" t="s">
        <v>243</v>
      </c>
      <c r="D87" s="20" t="s">
        <v>101</v>
      </c>
      <c r="E87" s="17" t="s">
        <v>244</v>
      </c>
      <c r="F87" s="20" t="s">
        <v>109</v>
      </c>
      <c r="G87" s="17" t="s">
        <v>74</v>
      </c>
      <c r="H87" s="20" t="s">
        <v>245</v>
      </c>
      <c r="I87" s="20" t="s">
        <v>246</v>
      </c>
      <c r="J87" s="17" t="s">
        <v>29</v>
      </c>
      <c r="K87" s="17" t="s">
        <v>247</v>
      </c>
      <c r="L87" s="20" t="s">
        <v>13</v>
      </c>
      <c r="M87" s="20" t="s">
        <v>151</v>
      </c>
      <c r="N87" s="18">
        <v>17.98</v>
      </c>
      <c r="O87" s="20">
        <v>2</v>
      </c>
      <c r="P87" s="5">
        <v>0.1</v>
      </c>
      <c r="Q87" s="18">
        <v>4.45</v>
      </c>
    </row>
    <row r="88" spans="1:17" x14ac:dyDescent="0.35">
      <c r="A88" s="17" t="s">
        <v>225</v>
      </c>
      <c r="B88" s="17" t="s">
        <v>226</v>
      </c>
      <c r="C88" s="17" t="s">
        <v>227</v>
      </c>
      <c r="D88" s="20" t="s">
        <v>71</v>
      </c>
      <c r="E88" s="17" t="s">
        <v>228</v>
      </c>
      <c r="F88" s="20" t="s">
        <v>84</v>
      </c>
      <c r="G88" s="17" t="s">
        <v>74</v>
      </c>
      <c r="H88" s="20" t="s">
        <v>229</v>
      </c>
      <c r="I88" s="20" t="s">
        <v>230</v>
      </c>
      <c r="J88" s="17" t="s">
        <v>29</v>
      </c>
      <c r="K88" s="17" t="s">
        <v>499</v>
      </c>
      <c r="L88" s="20" t="s">
        <v>11</v>
      </c>
      <c r="M88" s="20" t="s">
        <v>104</v>
      </c>
      <c r="N88" s="18">
        <v>317.86</v>
      </c>
      <c r="O88" s="20">
        <v>3</v>
      </c>
      <c r="P88" s="5">
        <v>0.2</v>
      </c>
      <c r="Q88" s="18">
        <v>79.47</v>
      </c>
    </row>
    <row r="89" spans="1:17" x14ac:dyDescent="0.35">
      <c r="A89" s="17" t="s">
        <v>353</v>
      </c>
      <c r="B89" s="17" t="s">
        <v>354</v>
      </c>
      <c r="C89" s="17" t="s">
        <v>355</v>
      </c>
      <c r="D89" s="20" t="s">
        <v>71</v>
      </c>
      <c r="E89" s="17" t="s">
        <v>356</v>
      </c>
      <c r="F89" s="20" t="s">
        <v>109</v>
      </c>
      <c r="G89" s="17" t="s">
        <v>74</v>
      </c>
      <c r="H89" s="20" t="s">
        <v>275</v>
      </c>
      <c r="I89" s="20" t="s">
        <v>76</v>
      </c>
      <c r="J89" s="17" t="s">
        <v>23</v>
      </c>
      <c r="K89" s="17" t="s">
        <v>500</v>
      </c>
      <c r="L89" s="20" t="s">
        <v>13</v>
      </c>
      <c r="M89" s="20" t="s">
        <v>151</v>
      </c>
      <c r="N89" s="18">
        <v>153.36000000000001</v>
      </c>
      <c r="O89" s="20">
        <v>1</v>
      </c>
      <c r="P89" s="5">
        <v>0</v>
      </c>
      <c r="Q89" s="18">
        <v>38.340000000000003</v>
      </c>
    </row>
    <row r="90" spans="1:17" x14ac:dyDescent="0.35">
      <c r="A90" s="17" t="s">
        <v>105</v>
      </c>
      <c r="B90" s="17" t="s">
        <v>106</v>
      </c>
      <c r="C90" s="17" t="s">
        <v>107</v>
      </c>
      <c r="D90" s="20" t="s">
        <v>71</v>
      </c>
      <c r="E90" s="17" t="s">
        <v>108</v>
      </c>
      <c r="F90" s="20" t="s">
        <v>109</v>
      </c>
      <c r="G90" s="17" t="s">
        <v>74</v>
      </c>
      <c r="H90" s="20" t="s">
        <v>85</v>
      </c>
      <c r="I90" s="20" t="s">
        <v>86</v>
      </c>
      <c r="J90" s="17" t="s">
        <v>25</v>
      </c>
      <c r="K90" s="17" t="s">
        <v>110</v>
      </c>
      <c r="L90" s="20" t="s">
        <v>12</v>
      </c>
      <c r="M90" s="20" t="s">
        <v>111</v>
      </c>
      <c r="N90" s="18">
        <v>194.45</v>
      </c>
      <c r="O90" s="20">
        <v>2</v>
      </c>
      <c r="P90" s="5">
        <v>0.1</v>
      </c>
      <c r="Q90" s="18">
        <v>43.42</v>
      </c>
    </row>
    <row r="91" spans="1:17" x14ac:dyDescent="0.35">
      <c r="A91" s="17" t="s">
        <v>369</v>
      </c>
      <c r="B91" s="17" t="s">
        <v>370</v>
      </c>
      <c r="C91" s="17" t="s">
        <v>113</v>
      </c>
      <c r="D91" s="20" t="s">
        <v>71</v>
      </c>
      <c r="E91" s="17" t="s">
        <v>371</v>
      </c>
      <c r="F91" s="20" t="s">
        <v>73</v>
      </c>
      <c r="G91" s="17" t="s">
        <v>74</v>
      </c>
      <c r="H91" s="20" t="s">
        <v>162</v>
      </c>
      <c r="I91" s="20" t="s">
        <v>163</v>
      </c>
      <c r="J91" s="17" t="s">
        <v>25</v>
      </c>
      <c r="K91" s="17" t="s">
        <v>372</v>
      </c>
      <c r="L91" s="20" t="s">
        <v>12</v>
      </c>
      <c r="M91" s="20" t="s">
        <v>97</v>
      </c>
      <c r="N91" s="18">
        <v>422.49</v>
      </c>
      <c r="O91" s="20">
        <v>6</v>
      </c>
      <c r="P91" s="5">
        <v>0.3</v>
      </c>
      <c r="Q91" s="18">
        <v>-46.75</v>
      </c>
    </row>
    <row r="92" spans="1:17" x14ac:dyDescent="0.35">
      <c r="A92" s="17" t="s">
        <v>461</v>
      </c>
      <c r="B92" s="17" t="s">
        <v>462</v>
      </c>
      <c r="C92" s="17" t="s">
        <v>440</v>
      </c>
      <c r="D92" s="20" t="s">
        <v>101</v>
      </c>
      <c r="E92" s="17" t="s">
        <v>463</v>
      </c>
      <c r="F92" s="20" t="s">
        <v>73</v>
      </c>
      <c r="G92" s="17" t="s">
        <v>74</v>
      </c>
      <c r="H92" s="20" t="s">
        <v>162</v>
      </c>
      <c r="I92" s="20" t="s">
        <v>163</v>
      </c>
      <c r="J92" s="17" t="s">
        <v>25</v>
      </c>
      <c r="K92" s="17" t="s">
        <v>464</v>
      </c>
      <c r="L92" s="20" t="s">
        <v>13</v>
      </c>
      <c r="M92" s="20" t="s">
        <v>417</v>
      </c>
      <c r="N92" s="18">
        <v>294.64999999999998</v>
      </c>
      <c r="O92" s="20">
        <v>2</v>
      </c>
      <c r="P92" s="5">
        <v>0.25</v>
      </c>
      <c r="Q92" s="18">
        <v>-78.81</v>
      </c>
    </row>
    <row r="93" spans="1:17" x14ac:dyDescent="0.35">
      <c r="A93" s="17" t="s">
        <v>152</v>
      </c>
      <c r="B93" s="17" t="s">
        <v>153</v>
      </c>
      <c r="C93" s="17" t="s">
        <v>114</v>
      </c>
      <c r="D93" s="20" t="s">
        <v>101</v>
      </c>
      <c r="E93" s="17" t="s">
        <v>154</v>
      </c>
      <c r="F93" s="20" t="s">
        <v>109</v>
      </c>
      <c r="G93" s="17" t="s">
        <v>74</v>
      </c>
      <c r="H93" s="20" t="s">
        <v>155</v>
      </c>
      <c r="I93" s="20" t="s">
        <v>156</v>
      </c>
      <c r="J93" s="17" t="s">
        <v>25</v>
      </c>
      <c r="K93" s="17" t="s">
        <v>157</v>
      </c>
      <c r="L93" s="20" t="s">
        <v>13</v>
      </c>
      <c r="M93" s="20" t="s">
        <v>78</v>
      </c>
      <c r="N93" s="18">
        <v>143.27000000000001</v>
      </c>
      <c r="O93" s="20">
        <v>8</v>
      </c>
      <c r="P93" s="5">
        <v>0.1</v>
      </c>
      <c r="Q93" s="18">
        <v>22.07</v>
      </c>
    </row>
    <row r="94" spans="1:17" x14ac:dyDescent="0.35">
      <c r="A94" s="17" t="s">
        <v>435</v>
      </c>
      <c r="B94" s="17" t="s">
        <v>436</v>
      </c>
      <c r="C94" s="17" t="s">
        <v>210</v>
      </c>
      <c r="D94" s="20" t="s">
        <v>71</v>
      </c>
      <c r="E94" s="17" t="s">
        <v>437</v>
      </c>
      <c r="F94" s="20" t="s">
        <v>109</v>
      </c>
      <c r="G94" s="17" t="s">
        <v>74</v>
      </c>
      <c r="H94" s="20" t="s">
        <v>155</v>
      </c>
      <c r="I94" s="20" t="s">
        <v>156</v>
      </c>
      <c r="J94" s="17" t="s">
        <v>25</v>
      </c>
      <c r="K94" s="17" t="s">
        <v>438</v>
      </c>
      <c r="L94" s="20" t="s">
        <v>12</v>
      </c>
      <c r="M94" s="20" t="s">
        <v>295</v>
      </c>
      <c r="N94" s="18">
        <v>136.31</v>
      </c>
      <c r="O94" s="20">
        <v>8</v>
      </c>
      <c r="P94" s="5">
        <v>0.2</v>
      </c>
      <c r="Q94" s="18">
        <v>28.4</v>
      </c>
    </row>
    <row r="95" spans="1:17" x14ac:dyDescent="0.35">
      <c r="A95" s="17" t="s">
        <v>194</v>
      </c>
      <c r="B95" s="17" t="s">
        <v>195</v>
      </c>
      <c r="C95" s="17" t="s">
        <v>196</v>
      </c>
      <c r="D95" s="20" t="s">
        <v>167</v>
      </c>
      <c r="E95" s="17" t="s">
        <v>197</v>
      </c>
      <c r="F95" s="20" t="s">
        <v>84</v>
      </c>
      <c r="G95" s="17" t="s">
        <v>74</v>
      </c>
      <c r="H95" s="20" t="s">
        <v>198</v>
      </c>
      <c r="I95" s="20" t="s">
        <v>199</v>
      </c>
      <c r="J95" s="17" t="s">
        <v>27</v>
      </c>
      <c r="K95" s="17" t="s">
        <v>501</v>
      </c>
      <c r="L95" s="20" t="s">
        <v>12</v>
      </c>
      <c r="M95" s="20" t="s">
        <v>47</v>
      </c>
      <c r="N95" s="18">
        <v>322.19</v>
      </c>
      <c r="O95" s="20">
        <v>2</v>
      </c>
      <c r="P95" s="5">
        <v>0</v>
      </c>
      <c r="Q95" s="18">
        <v>80.55</v>
      </c>
    </row>
    <row r="96" spans="1:17" x14ac:dyDescent="0.35">
      <c r="A96" s="17" t="s">
        <v>165</v>
      </c>
      <c r="B96" s="17" t="s">
        <v>81</v>
      </c>
      <c r="C96" s="17" t="s">
        <v>166</v>
      </c>
      <c r="D96" s="20" t="s">
        <v>167</v>
      </c>
      <c r="E96" s="17" t="s">
        <v>168</v>
      </c>
      <c r="F96" s="20" t="s">
        <v>73</v>
      </c>
      <c r="G96" s="17" t="s">
        <v>74</v>
      </c>
      <c r="H96" s="20" t="s">
        <v>85</v>
      </c>
      <c r="I96" s="20" t="s">
        <v>86</v>
      </c>
      <c r="J96" s="17" t="s">
        <v>25</v>
      </c>
      <c r="K96" s="17" t="s">
        <v>169</v>
      </c>
      <c r="L96" s="20" t="s">
        <v>12</v>
      </c>
      <c r="M96" s="20" t="s">
        <v>45</v>
      </c>
      <c r="N96" s="18">
        <v>420.98</v>
      </c>
      <c r="O96" s="20">
        <v>7</v>
      </c>
      <c r="P96" s="5">
        <v>0.1</v>
      </c>
      <c r="Q96" s="18">
        <v>127.98</v>
      </c>
    </row>
    <row r="97" spans="1:17" x14ac:dyDescent="0.35">
      <c r="A97" s="17" t="s">
        <v>187</v>
      </c>
      <c r="B97" s="17" t="s">
        <v>188</v>
      </c>
      <c r="C97" s="17" t="s">
        <v>189</v>
      </c>
      <c r="D97" s="20" t="s">
        <v>167</v>
      </c>
      <c r="E97" s="17" t="s">
        <v>190</v>
      </c>
      <c r="F97" s="20" t="s">
        <v>84</v>
      </c>
      <c r="G97" s="17" t="s">
        <v>74</v>
      </c>
      <c r="H97" s="20" t="s">
        <v>191</v>
      </c>
      <c r="I97" s="20" t="s">
        <v>192</v>
      </c>
      <c r="J97" s="17" t="s">
        <v>23</v>
      </c>
      <c r="K97" s="17" t="s">
        <v>193</v>
      </c>
      <c r="L97" s="20" t="s">
        <v>13</v>
      </c>
      <c r="M97" s="20" t="s">
        <v>151</v>
      </c>
      <c r="N97" s="18">
        <v>192.16</v>
      </c>
      <c r="O97" s="20">
        <v>7</v>
      </c>
      <c r="P97" s="5">
        <v>0.2</v>
      </c>
      <c r="Q97" s="18">
        <v>21.28</v>
      </c>
    </row>
    <row r="98" spans="1:17" x14ac:dyDescent="0.35">
      <c r="A98" s="17" t="s">
        <v>248</v>
      </c>
      <c r="B98" s="17" t="s">
        <v>249</v>
      </c>
      <c r="C98" s="17" t="s">
        <v>250</v>
      </c>
      <c r="D98" s="20" t="s">
        <v>92</v>
      </c>
      <c r="E98" s="17" t="s">
        <v>251</v>
      </c>
      <c r="F98" s="20" t="s">
        <v>109</v>
      </c>
      <c r="G98" s="17" t="s">
        <v>74</v>
      </c>
      <c r="H98" s="20" t="s">
        <v>252</v>
      </c>
      <c r="I98" s="20" t="s">
        <v>199</v>
      </c>
      <c r="J98" s="17" t="s">
        <v>27</v>
      </c>
      <c r="K98" s="17" t="s">
        <v>253</v>
      </c>
      <c r="L98" s="20" t="s">
        <v>13</v>
      </c>
      <c r="M98" s="20" t="s">
        <v>151</v>
      </c>
      <c r="N98" s="18">
        <v>27.01</v>
      </c>
      <c r="O98" s="20">
        <v>3</v>
      </c>
      <c r="P98" s="5">
        <v>0</v>
      </c>
      <c r="Q98" s="18">
        <v>6.72</v>
      </c>
    </row>
    <row r="99" spans="1:17" x14ac:dyDescent="0.35">
      <c r="A99" s="17" t="s">
        <v>263</v>
      </c>
      <c r="B99" s="17" t="s">
        <v>202</v>
      </c>
      <c r="C99" s="17" t="s">
        <v>264</v>
      </c>
      <c r="D99" s="20" t="s">
        <v>101</v>
      </c>
      <c r="E99" s="17" t="s">
        <v>265</v>
      </c>
      <c r="F99" s="20" t="s">
        <v>84</v>
      </c>
      <c r="G99" s="17" t="s">
        <v>74</v>
      </c>
      <c r="H99" s="20" t="s">
        <v>155</v>
      </c>
      <c r="I99" s="20" t="s">
        <v>156</v>
      </c>
      <c r="J99" s="17" t="s">
        <v>25</v>
      </c>
      <c r="K99" s="17" t="s">
        <v>266</v>
      </c>
      <c r="L99" s="20" t="s">
        <v>11</v>
      </c>
      <c r="M99" s="20" t="s">
        <v>43</v>
      </c>
      <c r="N99" s="18">
        <v>177.68</v>
      </c>
      <c r="O99" s="20">
        <v>7</v>
      </c>
      <c r="P99" s="5">
        <v>0.3</v>
      </c>
      <c r="Q99" s="18">
        <v>-23.33</v>
      </c>
    </row>
    <row r="100" spans="1:17" x14ac:dyDescent="0.35">
      <c r="A100" s="17" t="s">
        <v>282</v>
      </c>
      <c r="B100" s="17" t="s">
        <v>100</v>
      </c>
      <c r="C100" s="17" t="s">
        <v>283</v>
      </c>
      <c r="D100" s="20" t="s">
        <v>92</v>
      </c>
      <c r="E100" s="17" t="s">
        <v>284</v>
      </c>
      <c r="F100" s="20" t="s">
        <v>109</v>
      </c>
      <c r="G100" s="17" t="s">
        <v>74</v>
      </c>
      <c r="H100" s="20" t="s">
        <v>245</v>
      </c>
      <c r="I100" s="20" t="s">
        <v>246</v>
      </c>
      <c r="J100" s="17" t="s">
        <v>29</v>
      </c>
      <c r="K100" s="17" t="s">
        <v>285</v>
      </c>
      <c r="L100" s="20" t="s">
        <v>11</v>
      </c>
      <c r="M100" s="20" t="s">
        <v>43</v>
      </c>
      <c r="N100" s="18">
        <v>248.38</v>
      </c>
      <c r="O100" s="20">
        <v>1</v>
      </c>
      <c r="P100" s="5">
        <v>0.05</v>
      </c>
      <c r="Q100" s="18">
        <v>52.63</v>
      </c>
    </row>
    <row r="101" spans="1:17" x14ac:dyDescent="0.35">
      <c r="A101" s="17" t="s">
        <v>315</v>
      </c>
      <c r="B101" s="17" t="s">
        <v>316</v>
      </c>
      <c r="C101" s="17" t="s">
        <v>317</v>
      </c>
      <c r="D101" s="20" t="s">
        <v>167</v>
      </c>
      <c r="E101" s="17" t="s">
        <v>318</v>
      </c>
      <c r="F101" s="20" t="s">
        <v>109</v>
      </c>
      <c r="G101" s="17" t="s">
        <v>74</v>
      </c>
      <c r="H101" s="20" t="s">
        <v>136</v>
      </c>
      <c r="I101" s="20" t="s">
        <v>137</v>
      </c>
      <c r="J101" s="17" t="s">
        <v>23</v>
      </c>
      <c r="K101" s="17" t="s">
        <v>502</v>
      </c>
      <c r="L101" s="20" t="s">
        <v>11</v>
      </c>
      <c r="M101" s="20" t="s">
        <v>39</v>
      </c>
      <c r="N101" s="18">
        <v>164.56</v>
      </c>
      <c r="O101" s="20">
        <v>2</v>
      </c>
      <c r="P101" s="5">
        <v>0.2</v>
      </c>
      <c r="Q101" s="18">
        <v>41.14</v>
      </c>
    </row>
    <row r="102" spans="1:17" x14ac:dyDescent="0.35">
      <c r="A102" s="17" t="s">
        <v>98</v>
      </c>
      <c r="B102" s="17" t="s">
        <v>99</v>
      </c>
      <c r="C102" s="17" t="s">
        <v>100</v>
      </c>
      <c r="D102" s="20" t="s">
        <v>101</v>
      </c>
      <c r="E102" s="17" t="s">
        <v>102</v>
      </c>
      <c r="F102" s="20" t="s">
        <v>84</v>
      </c>
      <c r="G102" s="17" t="s">
        <v>74</v>
      </c>
      <c r="H102" s="20" t="s">
        <v>94</v>
      </c>
      <c r="I102" s="20" t="s">
        <v>95</v>
      </c>
      <c r="J102" s="17" t="s">
        <v>29</v>
      </c>
      <c r="K102" s="17" t="s">
        <v>103</v>
      </c>
      <c r="L102" s="20" t="s">
        <v>11</v>
      </c>
      <c r="M102" s="20" t="s">
        <v>104</v>
      </c>
      <c r="N102" s="18">
        <v>545.51</v>
      </c>
      <c r="O102" s="20">
        <v>2</v>
      </c>
      <c r="P102" s="5">
        <v>0.15</v>
      </c>
      <c r="Q102" s="18">
        <v>47.51</v>
      </c>
    </row>
    <row r="103" spans="1:17" x14ac:dyDescent="0.35">
      <c r="A103" s="17" t="s">
        <v>170</v>
      </c>
      <c r="B103" s="17" t="s">
        <v>171</v>
      </c>
      <c r="C103" s="17" t="s">
        <v>172</v>
      </c>
      <c r="D103" s="20" t="s">
        <v>167</v>
      </c>
      <c r="E103" s="17" t="s">
        <v>173</v>
      </c>
      <c r="F103" s="20" t="s">
        <v>84</v>
      </c>
      <c r="G103" s="17" t="s">
        <v>74</v>
      </c>
      <c r="H103" s="20" t="s">
        <v>174</v>
      </c>
      <c r="I103" s="20" t="s">
        <v>175</v>
      </c>
      <c r="J103" s="17" t="s">
        <v>27</v>
      </c>
      <c r="K103" s="17" t="s">
        <v>176</v>
      </c>
      <c r="L103" s="20" t="s">
        <v>13</v>
      </c>
      <c r="M103" s="20" t="s">
        <v>151</v>
      </c>
      <c r="N103" s="18">
        <v>94.66</v>
      </c>
      <c r="O103" s="20">
        <v>8</v>
      </c>
      <c r="P103" s="5">
        <v>0.2</v>
      </c>
      <c r="Q103" s="18">
        <v>10.7</v>
      </c>
    </row>
    <row r="104" spans="1:17" x14ac:dyDescent="0.35">
      <c r="A104" s="17" t="s">
        <v>98</v>
      </c>
      <c r="B104" s="17" t="s">
        <v>99</v>
      </c>
      <c r="C104" s="17" t="s">
        <v>100</v>
      </c>
      <c r="D104" s="20" t="s">
        <v>101</v>
      </c>
      <c r="E104" s="17" t="s">
        <v>102</v>
      </c>
      <c r="F104" s="20" t="s">
        <v>84</v>
      </c>
      <c r="G104" s="17" t="s">
        <v>74</v>
      </c>
      <c r="H104" s="20" t="s">
        <v>94</v>
      </c>
      <c r="I104" s="20" t="s">
        <v>95</v>
      </c>
      <c r="J104" s="17" t="s">
        <v>29</v>
      </c>
      <c r="K104" s="17" t="s">
        <v>503</v>
      </c>
      <c r="L104" s="20" t="s">
        <v>11</v>
      </c>
      <c r="M104" s="20" t="s">
        <v>41</v>
      </c>
      <c r="N104" s="18">
        <v>232.36</v>
      </c>
      <c r="O104" s="20">
        <v>4</v>
      </c>
      <c r="P104" s="5">
        <v>0</v>
      </c>
      <c r="Q104" s="18">
        <v>58.09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 Sales Dashboard</vt:lpstr>
      <vt:lpstr>Task 2 - Regional Pivot</vt:lpstr>
      <vt:lpstr>Task 5 - Top 5 Sub-Categories</vt:lpstr>
      <vt:lpstr>Cleaned Superstore Data</vt:lpstr>
      <vt:lpstr>Raw Superstore Data (100 Rows)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2026-10-02T08:08:25Z</dcterms:created>
  <dcterms:modified xsi:type="dcterms:W3CDTF">2026-10-02T08:12:15Z</dcterms:modified>
</cp:coreProperties>
</file>