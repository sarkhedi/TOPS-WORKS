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0/"/>
    </mc:Choice>
  </mc:AlternateContent>
  <xr:revisionPtr revIDLastSave="14" documentId="11_A2A56291947E849EEB31B835505DCE3A774B8C04" xr6:coauthVersionLast="47" xr6:coauthVersionMax="47" xr10:uidLastSave="{72972F8F-4D1A-46B6-8EA2-AF6CFE590C84}"/>
  <bookViews>
    <workbookView xWindow="-110" yWindow="-110" windowWidth="19420" windowHeight="11020" xr2:uid="{00000000-000D-0000-FFFF-FFFF00000000}"/>
  </bookViews>
  <sheets>
    <sheet name="SESSION 10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1" l="1"/>
  <c r="H41" i="1"/>
  <c r="G41" i="1"/>
  <c r="G39" i="1"/>
  <c r="H32" i="1"/>
  <c r="G32" i="1"/>
  <c r="H31" i="1"/>
  <c r="G31" i="1"/>
  <c r="G18" i="1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<sst xmlns="http://schemas.openxmlformats.org/spreadsheetml/2006/main" count="173" uniqueCount="144">
  <si>
    <t>SESSION 10 – Modern Lookup Functions (XLOOKUP Masterclass)</t>
  </si>
  <si>
    <t>Task 1: Basic XLOOKUP (Fetch Product Name for Product IDs)</t>
  </si>
  <si>
    <t>Separate Lookup Table (Using XLOOKUP):</t>
  </si>
  <si>
    <t>Product ID</t>
  </si>
  <si>
    <t>Product Name</t>
  </si>
  <si>
    <t>Category</t>
  </si>
  <si>
    <t>Price (₹)</t>
  </si>
  <si>
    <t>Target Product ID</t>
  </si>
  <si>
    <t>Fetched Product Name (XLOOKUP)</t>
  </si>
  <si>
    <t>Formula Applied</t>
  </si>
  <si>
    <t>FK-101</t>
  </si>
  <si>
    <t>Apple iPhone 15</t>
  </si>
  <si>
    <t>Mobiles</t>
  </si>
  <si>
    <t>FK-103</t>
  </si>
  <si>
    <t>FK-102</t>
  </si>
  <si>
    <t>Samsung Galaxy S24</t>
  </si>
  <si>
    <t>Sony WH-1000XM5</t>
  </si>
  <si>
    <t>Audio</t>
  </si>
  <si>
    <t>FK-107</t>
  </si>
  <si>
    <t>FK-104</t>
  </si>
  <si>
    <t>MacBook Air M2</t>
  </si>
  <si>
    <t>Laptops</t>
  </si>
  <si>
    <t>FK-105</t>
  </si>
  <si>
    <t>Dell XPS 13</t>
  </si>
  <si>
    <t>FK-110</t>
  </si>
  <si>
    <t>FK-106</t>
  </si>
  <si>
    <t>OnePlus 12</t>
  </si>
  <si>
    <t>Boat Airdopes 141</t>
  </si>
  <si>
    <t>FK-108</t>
  </si>
  <si>
    <t>Noise ColorFit Pro</t>
  </si>
  <si>
    <t>Wearables</t>
  </si>
  <si>
    <t>FK-109</t>
  </si>
  <si>
    <t>Logitech MX Master 3S</t>
  </si>
  <si>
    <t>Accessories</t>
  </si>
  <si>
    <t>Kindle Paperwhite</t>
  </si>
  <si>
    <t>E-Readers</t>
  </si>
  <si>
    <t>Task 2: Reverse Lookup (Find LAST Order Amount by Searching from Bottom [-1])</t>
  </si>
  <si>
    <t>Order ID</t>
  </si>
  <si>
    <t>Restaurant Name</t>
  </si>
  <si>
    <t>Order Date</t>
  </si>
  <si>
    <t>Amount (₹)</t>
  </si>
  <si>
    <t>Target Restaurant:</t>
  </si>
  <si>
    <t>Honest Restaurant</t>
  </si>
  <si>
    <t>ZOM-801</t>
  </si>
  <si>
    <t>2024-09-01</t>
  </si>
  <si>
    <t>Last Order Amount (XLOOKUP):</t>
  </si>
  <si>
    <t>ZOM-802</t>
  </si>
  <si>
    <t>Gordhan Thal</t>
  </si>
  <si>
    <t>2024-09-02</t>
  </si>
  <si>
    <t>ZOM-803</t>
  </si>
  <si>
    <t>2024-09-05</t>
  </si>
  <si>
    <t>ZOM-804</t>
  </si>
  <si>
    <t>Gwalia Sweets</t>
  </si>
  <si>
    <t>2024-09-07</t>
  </si>
  <si>
    <t>ZOM-805</t>
  </si>
  <si>
    <t>Mirch Masala</t>
  </si>
  <si>
    <t>2024-09-10</t>
  </si>
  <si>
    <t>ZOM-806</t>
  </si>
  <si>
    <t>2024-09-12</t>
  </si>
  <si>
    <t>ZOM-807</t>
  </si>
  <si>
    <t>2024-09-15</t>
  </si>
  <si>
    <t>ZOM-808</t>
  </si>
  <si>
    <t>2024-09-18</t>
  </si>
  <si>
    <t>ZOM-809</t>
  </si>
  <si>
    <t>2024-09-22</t>
  </si>
  <si>
    <t>ZOM-810</t>
  </si>
  <si>
    <t>2024-09-25</t>
  </si>
  <si>
    <t>Task 3: Default Value on Missing Data ('No playlist available')</t>
  </si>
  <si>
    <t>Playlist Name</t>
  </si>
  <si>
    <t>Genre</t>
  </si>
  <si>
    <t>Created By</t>
  </si>
  <si>
    <t>Number of Songs</t>
  </si>
  <si>
    <t>Search Genre</t>
  </si>
  <si>
    <t>Playlist Found (XLOOKUP)</t>
  </si>
  <si>
    <t>Bollywood Chill</t>
  </si>
  <si>
    <t>Bollywood</t>
  </si>
  <si>
    <t>Spotify India</t>
  </si>
  <si>
    <t>EDM</t>
  </si>
  <si>
    <t>Rock Classics</t>
  </si>
  <si>
    <t>Rock</t>
  </si>
  <si>
    <t>Spotify</t>
  </si>
  <si>
    <t>Heavy Metal</t>
  </si>
  <si>
    <t>EDM Party Anthems</t>
  </si>
  <si>
    <t>Martin Garrix</t>
  </si>
  <si>
    <t>Peaceful Piano</t>
  </si>
  <si>
    <t>Instrumental</t>
  </si>
  <si>
    <t>Hip Hop Central</t>
  </si>
  <si>
    <t>Hip Hop</t>
  </si>
  <si>
    <t>Eminem</t>
  </si>
  <si>
    <t>Jazz for Sleep</t>
  </si>
  <si>
    <t>Jazz</t>
  </si>
  <si>
    <t>Spotify Studios</t>
  </si>
  <si>
    <t>Task 4: IRCTC Bookings - Error Handling (Custom "Booking Not Found")</t>
  </si>
  <si>
    <t>Devotional</t>
  </si>
  <si>
    <t>A.R. Rahman</t>
  </si>
  <si>
    <t>Booking ID</t>
  </si>
  <si>
    <t>Passenger Name</t>
  </si>
  <si>
    <t>Train Number</t>
  </si>
  <si>
    <t>Status</t>
  </si>
  <si>
    <t>Query PNR (Wrong ID):</t>
  </si>
  <si>
    <t>PNR-9999</t>
  </si>
  <si>
    <t>PNR-1001</t>
  </si>
  <si>
    <t>Rahul Sharma</t>
  </si>
  <si>
    <t>12951 - Rajdhani Express</t>
  </si>
  <si>
    <t>Confirmed</t>
  </si>
  <si>
    <t>1. Without Error Handling:</t>
  </si>
  <si>
    <t>PNR-1002</t>
  </si>
  <si>
    <t>Priya Patel</t>
  </si>
  <si>
    <t>22953 - Gujarat SF Express</t>
  </si>
  <si>
    <t>RAC 12</t>
  </si>
  <si>
    <t>PNR-1003</t>
  </si>
  <si>
    <t>Amit Verma</t>
  </si>
  <si>
    <t>12009 - Shatabdi Express</t>
  </si>
  <si>
    <t>2. With "Booking Not Found":</t>
  </si>
  <si>
    <t>PNR-1004</t>
  </si>
  <si>
    <t>Sneha Joshi</t>
  </si>
  <si>
    <t>20901 - Vande Bharat</t>
  </si>
  <si>
    <t>Waitlist 05</t>
  </si>
  <si>
    <t>PNR-1005</t>
  </si>
  <si>
    <t>Karan Mehta</t>
  </si>
  <si>
    <t>19037 - Avadh Express</t>
  </si>
  <si>
    <t>Task 5: ChatGPT Generated XLOOKUP for Myntra Delivery Date</t>
  </si>
  <si>
    <t>Item Name</t>
  </si>
  <si>
    <t>Delivery Date</t>
  </si>
  <si>
    <t>🤖 ChatGPT Prompt:</t>
  </si>
  <si>
    <t>MYN-501</t>
  </si>
  <si>
    <t>Roadster Denim Jacket</t>
  </si>
  <si>
    <t>2024-09-14</t>
  </si>
  <si>
    <t>Target Order ID:</t>
  </si>
  <si>
    <t>MYN-503</t>
  </si>
  <si>
    <t>MYN-502</t>
  </si>
  <si>
    <t>HRX Running Shoes</t>
  </si>
  <si>
    <t>2024-09-16</t>
  </si>
  <si>
    <t>Fetched Delivery Date:</t>
  </si>
  <si>
    <t>Anouk Printed Kurta</t>
  </si>
  <si>
    <t>2024-09-19</t>
  </si>
  <si>
    <t>MYN-504</t>
  </si>
  <si>
    <t>Levis Slim Fit Jeans</t>
  </si>
  <si>
    <t>Test Result:</t>
  </si>
  <si>
    <t>✅ Works perfectly! Returned "2024-09-19" accurately.</t>
  </si>
  <si>
    <t>MYN-505</t>
  </si>
  <si>
    <t>Puma Sports T-Shirt</t>
  </si>
  <si>
    <t>2024-09-20</t>
  </si>
  <si>
    <t>2024-09-24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</si>
</sst>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2"/>
      <color rgb="FF375623"/>
      <name val="Calibri"/>
      <family val="2"/>
    </font>
    <font>
      <b/>
      <sz val="11"/>
      <name val="Calibri"/>
      <family val="2"/>
    </font>
    <font>
      <b/>
      <sz val="11"/>
      <color rgb="FF003366"/>
      <name val="Calibri"/>
      <family val="2"/>
    </font>
    <font>
      <i/>
      <sz val="10"/>
      <color rgb="FF595959"/>
      <name val="Calibri"/>
      <family val="2"/>
    </font>
    <font>
      <b/>
      <sz val="11"/>
      <color rgb="FFC00000"/>
      <name val="Calibri"/>
      <family val="2"/>
    </font>
    <font>
      <b/>
      <sz val="11"/>
      <color rgb="FF0061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C65911"/>
        <bgColor rgb="FFC65911"/>
      </patternFill>
    </fill>
    <fill>
      <patternFill patternType="solid">
        <fgColor rgb="FFF8CBAD"/>
        <bgColor rgb="FFF8CBAD"/>
      </patternFill>
    </fill>
    <fill>
      <patternFill patternType="solid">
        <fgColor theme="8" tint="-0.499984740745262"/>
        <bgColor rgb="FF1F4E78"/>
      </patternFill>
    </fill>
    <fill>
      <patternFill patternType="solid">
        <fgColor theme="9" tint="-0.249977111117893"/>
        <bgColor rgb="FF1F4E78"/>
      </patternFill>
    </fill>
    <fill>
      <patternFill patternType="solid">
        <fgColor theme="7" tint="-0.499984740745262"/>
        <bgColor rgb="FF1F4E78"/>
      </patternFill>
    </fill>
    <fill>
      <patternFill patternType="solid">
        <fgColor theme="3" tint="-0.499984740745262"/>
        <bgColor rgb="FF1F4E78"/>
      </patternFill>
    </fill>
    <fill>
      <patternFill patternType="solid">
        <fgColor theme="2" tint="-0.89999084444715716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/>
    <xf numFmtId="0" fontId="8" fillId="0" borderId="1" xfId="0" applyFont="1" applyBorder="1"/>
    <xf numFmtId="0" fontId="6" fillId="5" borderId="1" xfId="0" applyFont="1" applyFill="1" applyBorder="1"/>
    <xf numFmtId="0" fontId="6" fillId="4" borderId="1" xfId="0" applyFont="1" applyFill="1" applyBorder="1"/>
    <xf numFmtId="164" fontId="7" fillId="4" borderId="1" xfId="0" applyNumberFormat="1" applyFont="1" applyFill="1" applyBorder="1" applyAlignment="1">
      <alignment horizontal="right"/>
    </xf>
    <xf numFmtId="0" fontId="6" fillId="0" borderId="1" xfId="0" applyFont="1" applyBorder="1"/>
    <xf numFmtId="0" fontId="3" fillId="6" borderId="1" xfId="0" applyFont="1" applyFill="1" applyBorder="1" applyAlignment="1">
      <alignment horizontal="center"/>
    </xf>
    <xf numFmtId="0" fontId="9" fillId="7" borderId="1" xfId="0" applyFont="1" applyFill="1" applyBorder="1"/>
    <xf numFmtId="0" fontId="8" fillId="0" borderId="0" xfId="0" applyFont="1"/>
    <xf numFmtId="0" fontId="2" fillId="0" borderId="1" xfId="0" applyFont="1" applyBorder="1"/>
    <xf numFmtId="0" fontId="9" fillId="7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0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C17" workbookViewId="0">
      <selection activeCell="A4" sqref="A4:D4"/>
    </sheetView>
  </sheetViews>
  <sheetFormatPr defaultRowHeight="14.5" x14ac:dyDescent="0.35"/>
  <cols>
    <col min="1" max="1" width="20" customWidth="1"/>
    <col min="2" max="2" width="28" customWidth="1"/>
    <col min="3" max="3" width="25" customWidth="1"/>
    <col min="4" max="4" width="20" customWidth="1"/>
    <col min="5" max="5" width="5" customWidth="1"/>
    <col min="6" max="6" width="30" customWidth="1"/>
    <col min="7" max="7" width="35" customWidth="1"/>
    <col min="8" max="8" width="45" customWidth="1"/>
  </cols>
  <sheetData>
    <row r="1" spans="1:8" ht="32" customHeight="1" x14ac:dyDescent="0.35">
      <c r="A1" s="23" t="s">
        <v>0</v>
      </c>
      <c r="B1" s="24"/>
      <c r="C1" s="24"/>
      <c r="D1" s="24"/>
      <c r="E1" s="24"/>
      <c r="F1" s="24"/>
      <c r="G1" s="24"/>
      <c r="H1" s="24"/>
    </row>
    <row r="3" spans="1:8" ht="17" x14ac:dyDescent="0.4">
      <c r="A3" s="1" t="s">
        <v>1</v>
      </c>
      <c r="F3" s="2" t="s">
        <v>2</v>
      </c>
    </row>
    <row r="4" spans="1:8" x14ac:dyDescent="0.35">
      <c r="A4" s="29" t="s">
        <v>3</v>
      </c>
      <c r="B4" s="29" t="s">
        <v>4</v>
      </c>
      <c r="C4" s="29" t="s">
        <v>5</v>
      </c>
      <c r="D4" s="29" t="s">
        <v>6</v>
      </c>
      <c r="F4" s="4" t="s">
        <v>7</v>
      </c>
      <c r="G4" s="4" t="s">
        <v>8</v>
      </c>
      <c r="H4" s="4" t="s">
        <v>9</v>
      </c>
    </row>
    <row r="5" spans="1:8" x14ac:dyDescent="0.35">
      <c r="A5" s="5" t="s">
        <v>10</v>
      </c>
      <c r="B5" s="6" t="s">
        <v>11</v>
      </c>
      <c r="C5" s="6" t="s">
        <v>12</v>
      </c>
      <c r="D5" s="7">
        <v>69999</v>
      </c>
      <c r="F5" s="8" t="s">
        <v>13</v>
      </c>
      <c r="G5" s="9" t="e">
        <f ca="1">_xludf.XLOOKUP(F5, $A$5:$A$14, $B$5:$B$14)</f>
        <v>#NAME?</v>
      </c>
      <c r="H5" s="10" t="e">
        <f ca="1">_xludf.XLOOKUP(F5, $A$5:$A$14, $B$5:$B$14)</f>
        <v>#NAME?</v>
      </c>
    </row>
    <row r="6" spans="1:8" x14ac:dyDescent="0.35">
      <c r="A6" s="5" t="s">
        <v>14</v>
      </c>
      <c r="B6" s="6" t="s">
        <v>15</v>
      </c>
      <c r="C6" s="6" t="s">
        <v>12</v>
      </c>
      <c r="D6" s="7">
        <v>79999</v>
      </c>
      <c r="F6" s="8" t="s">
        <v>10</v>
      </c>
      <c r="G6" s="9" t="e">
        <f ca="1">_xludf.XLOOKUP(F6, $A$5:$A$14, $B$5:$B$14)</f>
        <v>#NAME?</v>
      </c>
      <c r="H6" s="10" t="e">
        <f ca="1">_xludf.XLOOKUP(F6, $A$5:$A$14, $B$5:$B$14)</f>
        <v>#NAME?</v>
      </c>
    </row>
    <row r="7" spans="1:8" x14ac:dyDescent="0.35">
      <c r="A7" s="5" t="s">
        <v>13</v>
      </c>
      <c r="B7" s="6" t="s">
        <v>16</v>
      </c>
      <c r="C7" s="6" t="s">
        <v>17</v>
      </c>
      <c r="D7" s="7">
        <v>28990</v>
      </c>
      <c r="F7" s="8" t="s">
        <v>18</v>
      </c>
      <c r="G7" s="9" t="e">
        <f ca="1">_xludf.XLOOKUP(F7, $A$5:$A$14, $B$5:$B$14)</f>
        <v>#NAME?</v>
      </c>
      <c r="H7" s="10" t="e">
        <f ca="1">_xludf.XLOOKUP(F7, $A$5:$A$14, $B$5:$B$14)</f>
        <v>#NAME?</v>
      </c>
    </row>
    <row r="8" spans="1:8" x14ac:dyDescent="0.35">
      <c r="A8" s="5" t="s">
        <v>19</v>
      </c>
      <c r="B8" s="6" t="s">
        <v>20</v>
      </c>
      <c r="C8" s="6" t="s">
        <v>21</v>
      </c>
      <c r="D8" s="7">
        <v>89900</v>
      </c>
      <c r="F8" s="8" t="s">
        <v>19</v>
      </c>
      <c r="G8" s="9" t="e">
        <f ca="1">_xludf.XLOOKUP(F8, $A$5:$A$14, $B$5:$B$14)</f>
        <v>#NAME?</v>
      </c>
      <c r="H8" s="10" t="e">
        <f ca="1">_xludf.XLOOKUP(F8, $A$5:$A$14, $B$5:$B$14)</f>
        <v>#NAME?</v>
      </c>
    </row>
    <row r="9" spans="1:8" x14ac:dyDescent="0.35">
      <c r="A9" s="5" t="s">
        <v>22</v>
      </c>
      <c r="B9" s="6" t="s">
        <v>23</v>
      </c>
      <c r="C9" s="6" t="s">
        <v>21</v>
      </c>
      <c r="D9" s="7">
        <v>114990</v>
      </c>
      <c r="F9" s="8" t="s">
        <v>24</v>
      </c>
      <c r="G9" s="9" t="e">
        <f ca="1">_xludf.XLOOKUP(F9, $A$5:$A$14, $B$5:$B$14)</f>
        <v>#NAME?</v>
      </c>
      <c r="H9" s="10" t="e">
        <f ca="1">_xludf.XLOOKUP(F9, $A$5:$A$14, $B$5:$B$14)</f>
        <v>#NAME?</v>
      </c>
    </row>
    <row r="10" spans="1:8" x14ac:dyDescent="0.35">
      <c r="A10" s="5" t="s">
        <v>25</v>
      </c>
      <c r="B10" s="6" t="s">
        <v>26</v>
      </c>
      <c r="C10" s="6" t="s">
        <v>12</v>
      </c>
      <c r="D10" s="7">
        <v>64999</v>
      </c>
    </row>
    <row r="11" spans="1:8" x14ac:dyDescent="0.35">
      <c r="A11" s="5" t="s">
        <v>18</v>
      </c>
      <c r="B11" s="6" t="s">
        <v>27</v>
      </c>
      <c r="C11" s="6" t="s">
        <v>17</v>
      </c>
      <c r="D11" s="7">
        <v>1299</v>
      </c>
    </row>
    <row r="12" spans="1:8" x14ac:dyDescent="0.35">
      <c r="A12" s="5" t="s">
        <v>28</v>
      </c>
      <c r="B12" s="6" t="s">
        <v>29</v>
      </c>
      <c r="C12" s="6" t="s">
        <v>30</v>
      </c>
      <c r="D12" s="7">
        <v>1799</v>
      </c>
    </row>
    <row r="13" spans="1:8" x14ac:dyDescent="0.35">
      <c r="A13" s="5" t="s">
        <v>31</v>
      </c>
      <c r="B13" s="6" t="s">
        <v>32</v>
      </c>
      <c r="C13" s="6" t="s">
        <v>33</v>
      </c>
      <c r="D13" s="7">
        <v>8995</v>
      </c>
    </row>
    <row r="14" spans="1:8" x14ac:dyDescent="0.35">
      <c r="A14" s="5" t="s">
        <v>24</v>
      </c>
      <c r="B14" s="6" t="s">
        <v>34</v>
      </c>
      <c r="C14" s="6" t="s">
        <v>35</v>
      </c>
      <c r="D14" s="7">
        <v>14999</v>
      </c>
    </row>
    <row r="16" spans="1:8" ht="17" x14ac:dyDescent="0.4">
      <c r="A16" s="1" t="s">
        <v>36</v>
      </c>
    </row>
    <row r="17" spans="1:8" x14ac:dyDescent="0.35">
      <c r="A17" s="28" t="s">
        <v>37</v>
      </c>
      <c r="B17" s="28" t="s">
        <v>38</v>
      </c>
      <c r="C17" s="28" t="s">
        <v>39</v>
      </c>
      <c r="D17" s="28" t="s">
        <v>40</v>
      </c>
      <c r="F17" s="11" t="s">
        <v>41</v>
      </c>
      <c r="G17" s="11" t="s">
        <v>42</v>
      </c>
    </row>
    <row r="18" spans="1:8" x14ac:dyDescent="0.35">
      <c r="A18" s="5" t="s">
        <v>43</v>
      </c>
      <c r="B18" s="6" t="s">
        <v>42</v>
      </c>
      <c r="C18" s="5" t="s">
        <v>44</v>
      </c>
      <c r="D18" s="7">
        <v>450</v>
      </c>
      <c r="F18" s="12" t="s">
        <v>45</v>
      </c>
      <c r="G18" s="13" t="e">
        <f ca="1">_xludf.XLOOKUP(G17, $B$18:$B$27, $D$18:$D$27, "Not Found", 0, -1)</f>
        <v>#NAME?</v>
      </c>
    </row>
    <row r="19" spans="1:8" x14ac:dyDescent="0.35">
      <c r="A19" s="5" t="s">
        <v>46</v>
      </c>
      <c r="B19" s="6" t="s">
        <v>47</v>
      </c>
      <c r="C19" s="5" t="s">
        <v>48</v>
      </c>
      <c r="D19" s="7">
        <v>1200</v>
      </c>
      <c r="F19" s="10"/>
      <c r="G19" s="10"/>
    </row>
    <row r="20" spans="1:8" x14ac:dyDescent="0.35">
      <c r="A20" s="5" t="s">
        <v>49</v>
      </c>
      <c r="B20" s="6" t="s">
        <v>42</v>
      </c>
      <c r="C20" s="5" t="s">
        <v>50</v>
      </c>
      <c r="D20" s="7">
        <v>680</v>
      </c>
      <c r="F20" s="14"/>
      <c r="G20" s="10"/>
    </row>
    <row r="21" spans="1:8" x14ac:dyDescent="0.35">
      <c r="A21" s="5" t="s">
        <v>51</v>
      </c>
      <c r="B21" s="6" t="s">
        <v>52</v>
      </c>
      <c r="C21" s="5" t="s">
        <v>53</v>
      </c>
      <c r="D21" s="7">
        <v>350</v>
      </c>
    </row>
    <row r="22" spans="1:8" x14ac:dyDescent="0.35">
      <c r="A22" s="5" t="s">
        <v>54</v>
      </c>
      <c r="B22" s="6" t="s">
        <v>55</v>
      </c>
      <c r="C22" s="5" t="s">
        <v>56</v>
      </c>
      <c r="D22" s="7">
        <v>920</v>
      </c>
    </row>
    <row r="23" spans="1:8" x14ac:dyDescent="0.35">
      <c r="A23" s="5" t="s">
        <v>57</v>
      </c>
      <c r="B23" s="6" t="s">
        <v>42</v>
      </c>
      <c r="C23" s="5" t="s">
        <v>58</v>
      </c>
      <c r="D23" s="7">
        <v>1150</v>
      </c>
    </row>
    <row r="24" spans="1:8" x14ac:dyDescent="0.35">
      <c r="A24" s="5" t="s">
        <v>59</v>
      </c>
      <c r="B24" s="6" t="s">
        <v>47</v>
      </c>
      <c r="C24" s="5" t="s">
        <v>60</v>
      </c>
      <c r="D24" s="7">
        <v>1400</v>
      </c>
    </row>
    <row r="25" spans="1:8" x14ac:dyDescent="0.35">
      <c r="A25" s="5" t="s">
        <v>61</v>
      </c>
      <c r="B25" s="6" t="s">
        <v>52</v>
      </c>
      <c r="C25" s="5" t="s">
        <v>62</v>
      </c>
      <c r="D25" s="7">
        <v>520</v>
      </c>
    </row>
    <row r="26" spans="1:8" x14ac:dyDescent="0.35">
      <c r="A26" s="5" t="s">
        <v>63</v>
      </c>
      <c r="B26" s="6" t="s">
        <v>42</v>
      </c>
      <c r="C26" s="5" t="s">
        <v>64</v>
      </c>
      <c r="D26" s="7">
        <v>890</v>
      </c>
    </row>
    <row r="27" spans="1:8" x14ac:dyDescent="0.35">
      <c r="A27" s="5" t="s">
        <v>65</v>
      </c>
      <c r="B27" s="6" t="s">
        <v>55</v>
      </c>
      <c r="C27" s="5" t="s">
        <v>66</v>
      </c>
      <c r="D27" s="7">
        <v>1050</v>
      </c>
    </row>
    <row r="29" spans="1:8" ht="17" x14ac:dyDescent="0.4">
      <c r="A29" s="1" t="s">
        <v>67</v>
      </c>
    </row>
    <row r="30" spans="1:8" x14ac:dyDescent="0.35">
      <c r="A30" s="27" t="s">
        <v>68</v>
      </c>
      <c r="B30" s="27" t="s">
        <v>69</v>
      </c>
      <c r="C30" s="27" t="s">
        <v>70</v>
      </c>
      <c r="D30" s="27" t="s">
        <v>71</v>
      </c>
      <c r="F30" s="15" t="s">
        <v>72</v>
      </c>
      <c r="G30" s="4" t="s">
        <v>73</v>
      </c>
      <c r="H30" s="3" t="s">
        <v>9</v>
      </c>
    </row>
    <row r="31" spans="1:8" x14ac:dyDescent="0.35">
      <c r="A31" s="6" t="s">
        <v>74</v>
      </c>
      <c r="B31" s="6" t="s">
        <v>75</v>
      </c>
      <c r="C31" s="6" t="s">
        <v>76</v>
      </c>
      <c r="D31" s="5">
        <v>75</v>
      </c>
      <c r="F31" s="8" t="s">
        <v>77</v>
      </c>
      <c r="G31" s="9" t="e">
        <f ca="1">_xludf.XLOOKUP(F31, $B$31:$B$37, $A$31:$A$37, "No playlist available")</f>
        <v>#NAME?</v>
      </c>
      <c r="H31" s="10" t="e">
        <f ca="1">_xludf.XLOOKUP(F31, $B$31:$B$37, $A$31:$A$37, "No playlist available")</f>
        <v>#NAME?</v>
      </c>
    </row>
    <row r="32" spans="1:8" x14ac:dyDescent="0.35">
      <c r="A32" s="6" t="s">
        <v>78</v>
      </c>
      <c r="B32" s="6" t="s">
        <v>79</v>
      </c>
      <c r="C32" s="6" t="s">
        <v>80</v>
      </c>
      <c r="D32" s="5">
        <v>120</v>
      </c>
      <c r="F32" s="8" t="s">
        <v>81</v>
      </c>
      <c r="G32" s="16" t="e">
        <f ca="1">_xludf.XLOOKUP(F32, $B$31:$B$37, $A$31:$A$37, "No playlist available")</f>
        <v>#NAME?</v>
      </c>
      <c r="H32" s="10" t="e">
        <f ca="1">_xludf.XLOOKUP(F32, $B$31:$B$37, $A$31:$A$37, "No playlist available")</f>
        <v>#NAME?</v>
      </c>
    </row>
    <row r="33" spans="1:8" x14ac:dyDescent="0.35">
      <c r="A33" s="6" t="s">
        <v>82</v>
      </c>
      <c r="B33" s="6" t="s">
        <v>77</v>
      </c>
      <c r="C33" s="6" t="s">
        <v>83</v>
      </c>
      <c r="D33" s="5">
        <v>50</v>
      </c>
    </row>
    <row r="34" spans="1:8" x14ac:dyDescent="0.35">
      <c r="A34" s="6" t="s">
        <v>84</v>
      </c>
      <c r="B34" s="6" t="s">
        <v>85</v>
      </c>
      <c r="C34" s="6" t="s">
        <v>80</v>
      </c>
      <c r="D34" s="5">
        <v>85</v>
      </c>
      <c r="F34" s="17"/>
    </row>
    <row r="35" spans="1:8" x14ac:dyDescent="0.35">
      <c r="A35" s="6" t="s">
        <v>86</v>
      </c>
      <c r="B35" s="6" t="s">
        <v>87</v>
      </c>
      <c r="C35" s="6" t="s">
        <v>88</v>
      </c>
      <c r="D35" s="5">
        <v>65</v>
      </c>
    </row>
    <row r="36" spans="1:8" x14ac:dyDescent="0.35">
      <c r="A36" s="6" t="s">
        <v>89</v>
      </c>
      <c r="B36" s="6" t="s">
        <v>90</v>
      </c>
      <c r="C36" s="6" t="s">
        <v>91</v>
      </c>
      <c r="D36" s="5">
        <v>90</v>
      </c>
    </row>
    <row r="37" spans="1:8" ht="17" x14ac:dyDescent="0.4">
      <c r="A37" s="18" t="s">
        <v>92</v>
      </c>
      <c r="B37" s="6" t="s">
        <v>93</v>
      </c>
      <c r="C37" s="6" t="s">
        <v>94</v>
      </c>
      <c r="D37" s="5">
        <v>40</v>
      </c>
    </row>
    <row r="38" spans="1:8" x14ac:dyDescent="0.35">
      <c r="A38" s="26" t="s">
        <v>95</v>
      </c>
      <c r="B38" s="26" t="s">
        <v>96</v>
      </c>
      <c r="C38" s="26" t="s">
        <v>97</v>
      </c>
      <c r="D38" s="26" t="s">
        <v>98</v>
      </c>
      <c r="F38" s="11" t="s">
        <v>99</v>
      </c>
      <c r="G38" s="11" t="s">
        <v>100</v>
      </c>
    </row>
    <row r="39" spans="1:8" x14ac:dyDescent="0.35">
      <c r="A39" s="5" t="s">
        <v>101</v>
      </c>
      <c r="B39" s="6" t="s">
        <v>102</v>
      </c>
      <c r="C39" s="6" t="s">
        <v>103</v>
      </c>
      <c r="D39" s="5" t="s">
        <v>104</v>
      </c>
      <c r="F39" s="14" t="s">
        <v>105</v>
      </c>
      <c r="G39" s="19" t="e">
        <f ca="1">_xludf.XLOOKUP(G38, $A$39:$A$43, $D$39:$D$43)</f>
        <v>#NAME?</v>
      </c>
      <c r="H39" s="10"/>
    </row>
    <row r="40" spans="1:8" x14ac:dyDescent="0.35">
      <c r="A40" s="5" t="s">
        <v>106</v>
      </c>
      <c r="B40" s="6" t="s">
        <v>107</v>
      </c>
      <c r="C40" s="6" t="s">
        <v>108</v>
      </c>
      <c r="D40" s="5" t="s">
        <v>109</v>
      </c>
    </row>
    <row r="41" spans="1:8" x14ac:dyDescent="0.35">
      <c r="A41" s="5" t="s">
        <v>110</v>
      </c>
      <c r="B41" s="6" t="s">
        <v>111</v>
      </c>
      <c r="C41" s="6" t="s">
        <v>112</v>
      </c>
      <c r="D41" s="5" t="s">
        <v>104</v>
      </c>
      <c r="F41" s="14" t="s">
        <v>113</v>
      </c>
      <c r="G41" s="20" t="e">
        <f ca="1">_xludf.XLOOKUP(G38, $A$39:$A$43, $D$39:$D$43, "Booking Not Found")</f>
        <v>#NAME?</v>
      </c>
      <c r="H41" s="10" t="e">
        <f ca="1">_xludf.XLOOKUP(G38, A39:A43, D39:D43, "Booking Not Found")</f>
        <v>#NAME?</v>
      </c>
    </row>
    <row r="42" spans="1:8" x14ac:dyDescent="0.35">
      <c r="A42" s="5" t="s">
        <v>114</v>
      </c>
      <c r="B42" s="6" t="s">
        <v>115</v>
      </c>
      <c r="C42" s="6" t="s">
        <v>116</v>
      </c>
      <c r="D42" s="5" t="s">
        <v>117</v>
      </c>
    </row>
    <row r="43" spans="1:8" x14ac:dyDescent="0.35">
      <c r="A43" s="5" t="s">
        <v>118</v>
      </c>
      <c r="B43" s="6" t="s">
        <v>119</v>
      </c>
      <c r="C43" s="6" t="s">
        <v>120</v>
      </c>
      <c r="D43" s="5" t="s">
        <v>104</v>
      </c>
    </row>
    <row r="46" spans="1:8" ht="17" x14ac:dyDescent="0.4">
      <c r="A46" s="1" t="s">
        <v>121</v>
      </c>
    </row>
    <row r="47" spans="1:8" x14ac:dyDescent="0.35">
      <c r="A47" s="25" t="s">
        <v>37</v>
      </c>
      <c r="B47" s="25" t="s">
        <v>122</v>
      </c>
      <c r="C47" s="25" t="s">
        <v>39</v>
      </c>
      <c r="D47" s="25" t="s">
        <v>123</v>
      </c>
      <c r="F47" s="14" t="s">
        <v>124</v>
      </c>
      <c r="G47" s="10"/>
    </row>
    <row r="48" spans="1:8" x14ac:dyDescent="0.35">
      <c r="A48" s="5" t="s">
        <v>125</v>
      </c>
      <c r="B48" s="6" t="s">
        <v>126</v>
      </c>
      <c r="C48" s="5" t="s">
        <v>56</v>
      </c>
      <c r="D48" s="5" t="s">
        <v>127</v>
      </c>
      <c r="F48" s="11" t="s">
        <v>128</v>
      </c>
      <c r="G48" s="21" t="s">
        <v>129</v>
      </c>
    </row>
    <row r="49" spans="1:7" x14ac:dyDescent="0.35">
      <c r="A49" s="5" t="s">
        <v>130</v>
      </c>
      <c r="B49" s="6" t="s">
        <v>131</v>
      </c>
      <c r="C49" s="5" t="s">
        <v>58</v>
      </c>
      <c r="D49" s="5" t="s">
        <v>132</v>
      </c>
      <c r="F49" s="12" t="s">
        <v>133</v>
      </c>
      <c r="G49" s="20" t="e">
        <f ca="1">_xludf.XLOOKUP(G48, $A$48:$A$52, $D$48:$D$52, "Order Not Found")</f>
        <v>#NAME?</v>
      </c>
    </row>
    <row r="50" spans="1:7" x14ac:dyDescent="0.35">
      <c r="A50" s="5" t="s">
        <v>129</v>
      </c>
      <c r="B50" s="6" t="s">
        <v>134</v>
      </c>
      <c r="C50" s="5" t="s">
        <v>60</v>
      </c>
      <c r="D50" s="5" t="s">
        <v>135</v>
      </c>
      <c r="F50" s="10"/>
      <c r="G50" s="10"/>
    </row>
    <row r="51" spans="1:7" x14ac:dyDescent="0.35">
      <c r="A51" s="5" t="s">
        <v>136</v>
      </c>
      <c r="B51" s="6" t="s">
        <v>137</v>
      </c>
      <c r="C51" s="5" t="s">
        <v>62</v>
      </c>
      <c r="D51" s="5" t="s">
        <v>64</v>
      </c>
      <c r="F51" s="14" t="s">
        <v>138</v>
      </c>
      <c r="G51" s="22" t="s">
        <v>139</v>
      </c>
    </row>
    <row r="52" spans="1:7" x14ac:dyDescent="0.35">
      <c r="A52" s="5" t="s">
        <v>140</v>
      </c>
      <c r="B52" s="6" t="s">
        <v>141</v>
      </c>
      <c r="C52" s="5" t="s">
        <v>142</v>
      </c>
      <c r="D52" s="5" t="s">
        <v>143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2026-09-27T08:15:19Z</dcterms:created>
  <dcterms:modified xsi:type="dcterms:W3CDTF">2026-09-27T08:18:24Z</dcterms:modified>
</cp:coreProperties>
</file>